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orvmaciel/Library/Mobile Documents/com~apple~CloudDocs/Concursos/CGDF/Nomeações/"/>
    </mc:Choice>
  </mc:AlternateContent>
  <xr:revisionPtr revIDLastSave="0" documentId="13_ncr:1_{D58A4AD1-2E2C-2145-BD7B-0B08DFEE3E85}" xr6:coauthVersionLast="47" xr6:coauthVersionMax="47" xr10:uidLastSave="{00000000-0000-0000-0000-000000000000}"/>
  <bookViews>
    <workbookView xWindow="32420" yWindow="3840" windowWidth="27380" windowHeight="14800" activeTab="2" xr2:uid="{00000000-000D-0000-FFFF-FFFF00000000}"/>
  </bookViews>
  <sheets>
    <sheet name="103" sheetId="1" state="hidden" r:id="rId1"/>
    <sheet name="Já servidores" sheetId="4" state="hidden" r:id="rId2"/>
    <sheet name="CGDF" sheetId="5" r:id="rId3"/>
    <sheet name="Resumo Quantitativo" sheetId="8" r:id="rId4"/>
    <sheet name="FC" sheetId="6" r:id="rId5"/>
    <sheet name="PO" sheetId="7" r:id="rId6"/>
    <sheet name="103 + 102" sheetId="2" state="hidden" r:id="rId7"/>
    <sheet name="TODO ATUB" sheetId="3" state="hidden" r:id="rId8"/>
  </sheets>
  <definedNames>
    <definedName name="_xlnm._FilterDatabase" localSheetId="4" hidden="1">FC!$A$1:$K$143</definedName>
    <definedName name="_xlnm._FilterDatabase" localSheetId="5" hidden="1">PO!$A$1:$I$16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5" l="1"/>
  <c r="B29" i="5" s="1"/>
  <c r="B31" i="5" s="1"/>
  <c r="B25" i="5"/>
  <c r="C9" i="5"/>
  <c r="B21" i="5"/>
  <c r="B19" i="5"/>
  <c r="E3" i="8"/>
  <c r="E2" i="8"/>
  <c r="C10" i="5"/>
  <c r="C11" i="5"/>
  <c r="E4" i="8" l="1"/>
  <c r="B7" i="5"/>
  <c r="B13" i="5" s="1"/>
  <c r="B5" i="4"/>
  <c r="B7" i="4" s="1"/>
  <c r="B19" i="1"/>
  <c r="B19" i="3"/>
  <c r="B33" i="5" l="1"/>
  <c r="B21" i="3"/>
  <c r="B7" i="3"/>
  <c r="B13" i="3" s="1"/>
  <c r="B21" i="2"/>
  <c r="B19" i="2"/>
  <c r="B7" i="2"/>
  <c r="B13" i="2" s="1"/>
  <c r="B21" i="1"/>
  <c r="B23" i="1" s="1"/>
  <c r="B25" i="1" s="1"/>
  <c r="B27" i="1" s="1"/>
  <c r="B29" i="1" s="1"/>
  <c r="B31" i="1" s="1"/>
  <c r="B33" i="1" s="1"/>
  <c r="B7" i="1"/>
  <c r="B13" i="1" s="1"/>
  <c r="B23" i="2" l="1"/>
  <c r="B25" i="2" s="1"/>
  <c r="B27" i="2" s="1"/>
  <c r="B29" i="2" s="1"/>
  <c r="B31" i="2" s="1"/>
  <c r="B33" i="2" s="1"/>
  <c r="B23" i="3"/>
  <c r="B25" i="3" s="1"/>
  <c r="B27" i="3" s="1"/>
  <c r="B29" i="3" s="1"/>
  <c r="B31" i="3" s="1"/>
  <c r="B33" i="3" s="1"/>
</calcChain>
</file>

<file path=xl/sharedStrings.xml><?xml version="1.0" encoding="utf-8"?>
<sst xmlns="http://schemas.openxmlformats.org/spreadsheetml/2006/main" count="486" uniqueCount="226">
  <si>
    <t>LOA 2024</t>
  </si>
  <si>
    <t>RCL Ajustada (I)</t>
  </si>
  <si>
    <t>Despesa Líquida de Pessoal (II)</t>
  </si>
  <si>
    <t>% Total da despesa com Pessoal (II/I)</t>
  </si>
  <si>
    <t>Limite de Alerta</t>
  </si>
  <si>
    <t>Limite Prudencial</t>
  </si>
  <si>
    <t>Limite Máximo</t>
  </si>
  <si>
    <t>"Folga"pro limite prudencial</t>
  </si>
  <si>
    <t>Cálculo do impacto orçamentário das nomeações do cargo 103, segundo critérios da SUGEP:</t>
  </si>
  <si>
    <t>Férias e 13º salário (x13,3)</t>
  </si>
  <si>
    <t>Candidatos aptos pro cargo 103</t>
  </si>
  <si>
    <t>Total individual</t>
  </si>
  <si>
    <t>Total geral</t>
  </si>
  <si>
    <t>Impacto na despesa total com pessoal:</t>
  </si>
  <si>
    <t>Obrigação patronal (14% do teto do RGPS - R$ 7.613,80)</t>
  </si>
  <si>
    <t>NOVO % Total da despesa com Pessoal (Com todos nomeados)</t>
  </si>
  <si>
    <t>Vencimento básico (10.519,08) + gratificações permanentes (10% GIURB, 112 de curso, 420 de especialização e 5056,20 do FUNDAFAU)</t>
  </si>
  <si>
    <t>Candidatos aptos pros cargos 103 e 102</t>
  </si>
  <si>
    <t>Cálculo do impacto orçamentário das nomeações dos cargos 103 e 102, segundo critérios da SUGEP:</t>
  </si>
  <si>
    <t>Vencimento básico (9.562,80) + gratificações permanentes (10% GIURB, 112 de curso, 420 de especialização e 5056,20 do FUNDAFAU)</t>
  </si>
  <si>
    <t>TOTAL</t>
  </si>
  <si>
    <t>Despesa com pessoal</t>
  </si>
  <si>
    <t>Diferença</t>
  </si>
  <si>
    <t>Impacto</t>
  </si>
  <si>
    <t>Vencimento básico (21.739,90) + gratificações permanentes (112 de curso e 420 de especialização)</t>
  </si>
  <si>
    <t>Cálculo do impacto orçamentário das nomeações do ACI, segundo critérios da SUGEP:</t>
  </si>
  <si>
    <t>13º salário + férias (x13,3)</t>
  </si>
  <si>
    <t>ORDEM DE
NOMEAÇÃO</t>
  </si>
  <si>
    <t>TIPO DE
VAGA</t>
  </si>
  <si>
    <t>CLASS. NO
T. DE VAGA</t>
  </si>
  <si>
    <t>INSCRIÇÃO</t>
  </si>
  <si>
    <t>NOME</t>
  </si>
  <si>
    <t>PONTUAÇÃO
FINAL</t>
  </si>
  <si>
    <t>NOMEADO?</t>
  </si>
  <si>
    <t>SUBJUDICE</t>
  </si>
  <si>
    <t>CGDF-PO</t>
  </si>
  <si>
    <t>TCDF/TCU</t>
  </si>
  <si>
    <t>SENADO/CÂMARA
/RFB</t>
  </si>
  <si>
    <t>AMPLA</t>
  </si>
  <si>
    <t>PO</t>
  </si>
  <si>
    <t>SIM</t>
  </si>
  <si>
    <t>NEGRO</t>
  </si>
  <si>
    <t>TCDF</t>
  </si>
  <si>
    <t>PCD</t>
  </si>
  <si>
    <t>Luanna Camilla Fernandes Alves</t>
  </si>
  <si>
    <t>Stefany Valentim Mendes da Silva</t>
  </si>
  <si>
    <t>Alisson Natal Alves de Sousa</t>
  </si>
  <si>
    <t>PRÓXIMO DA FILA</t>
  </si>
  <si>
    <t>TCU</t>
  </si>
  <si>
    <t>Julemar Antonio de Amorim</t>
  </si>
  <si>
    <t>Priscilla Goncalves Marques</t>
  </si>
  <si>
    <t>Paulo Egidio Alves de Oliveira</t>
  </si>
  <si>
    <t>Samilla Ribeiro de Souza</t>
  </si>
  <si>
    <t>Elton Kleber da Silva</t>
  </si>
  <si>
    <t>Christian do Lago Freitas Bezerra de Melo</t>
  </si>
  <si>
    <t>Isadora Cidrao Campos</t>
  </si>
  <si>
    <t>Katiana Rodrigues da Silva</t>
  </si>
  <si>
    <t>Aline Amaral Silva</t>
  </si>
  <si>
    <t>Adalice Flavia Duarte de Medeiros</t>
  </si>
  <si>
    <t>Weskley Rodrigues dos Santos</t>
  </si>
  <si>
    <t>Mariana Cristina Melo do Nascimento</t>
  </si>
  <si>
    <t>Lorenna de Souza Batista do Carmo</t>
  </si>
  <si>
    <t>Maya Imbassahy Pinheiro</t>
  </si>
  <si>
    <t>Hugo Cesar da Silva Almeida</t>
  </si>
  <si>
    <t>Caio Jorge dos Santos Vasconcellos</t>
  </si>
  <si>
    <t>Arthur Schoueri Colaco</t>
  </si>
  <si>
    <t>RFB</t>
  </si>
  <si>
    <t>Danubia Grasiele Lara de Sousa</t>
  </si>
  <si>
    <t>Andeliton de Oliveira Soares</t>
  </si>
  <si>
    <t>Marcelo Augusto Sapper de Souza</t>
  </si>
  <si>
    <t>Thiago de Oliveira Goncalves</t>
  </si>
  <si>
    <t>Pedro Nunes Britto Moreira</t>
  </si>
  <si>
    <t>Raphael Santos Dantas</t>
  </si>
  <si>
    <t>Mayara Oliveira Lucena</t>
  </si>
  <si>
    <t>Lorreine Silva Messias</t>
  </si>
  <si>
    <t>Fernanda do Nascimento de Souza</t>
  </si>
  <si>
    <t>Everton Aguiar Oliveira</t>
  </si>
  <si>
    <t>Mateus Aguiar Machado</t>
  </si>
  <si>
    <t>Gabriel de Araujo Sobrinho</t>
  </si>
  <si>
    <t>Joao Vitor Franco Belem</t>
  </si>
  <si>
    <t>Caio Arruda Anastacio</t>
  </si>
  <si>
    <t>Thiago Carmo Ximenes</t>
  </si>
  <si>
    <t>Arthur Pereira Duarte</t>
  </si>
  <si>
    <t>Lucas Bezerra Campos</t>
  </si>
  <si>
    <t>Leandro Borges Olsen</t>
  </si>
  <si>
    <t>Eder Brandao da Silva Araujo</t>
  </si>
  <si>
    <t>Lucas Mendonca Brito da Silva</t>
  </si>
  <si>
    <t>Luis Carlos de Carvalho Junior</t>
  </si>
  <si>
    <t>Kamila Costa Ferreira Pereira</t>
  </si>
  <si>
    <t>Fabio Alves Lisboa</t>
  </si>
  <si>
    <t>Guilherme Renato Silva</t>
  </si>
  <si>
    <t>Francisco de Assis Galindo de Oliveira Filho</t>
  </si>
  <si>
    <t>Lucas Garcia de Sampaio Lobianco</t>
  </si>
  <si>
    <t>Noemia Maria de Azevedo</t>
  </si>
  <si>
    <t>Raphael Felipe de Sousa</t>
  </si>
  <si>
    <t>Ciro Costa Vieira</t>
  </si>
  <si>
    <t>Thaynan Cavalcanti Alexandrino</t>
  </si>
  <si>
    <t>Vanessa de Sousa Araujo</t>
  </si>
  <si>
    <t>Gilbert Eric Song Song</t>
  </si>
  <si>
    <t>Didier Rohe Salomon da Rosa Rodrigues</t>
  </si>
  <si>
    <t>Mirele Oliveira Sousa da Silva</t>
  </si>
  <si>
    <t>Juan Henrique Oliveira Sampaio</t>
  </si>
  <si>
    <t>Danily Andrade Veloso</t>
  </si>
  <si>
    <t>Savio Oliveira de Almeida Neves</t>
  </si>
  <si>
    <t>Armando Takaharu Saeki</t>
  </si>
  <si>
    <t>Paulo Henrique Pinto de Oliveira</t>
  </si>
  <si>
    <t>Diogo Miranda Galvao</t>
  </si>
  <si>
    <t>Arthur Jose Amaral de Souza Junior</t>
  </si>
  <si>
    <t>Priscila Maria Martini Lima</t>
  </si>
  <si>
    <t>Bruno Rolim Vieira Maciel</t>
  </si>
  <si>
    <t>Rulio Iglessia Rodrigues da Costa</t>
  </si>
  <si>
    <t>Thiago Augusto Rabelo de Lima</t>
  </si>
  <si>
    <t>Richeli Arantes Dias</t>
  </si>
  <si>
    <t>Wildson Tavares Fonseca Moura</t>
  </si>
  <si>
    <t>Rafaela Naira Barbosa de Oliveira</t>
  </si>
  <si>
    <t>Douglas de Andrade Almeida</t>
  </si>
  <si>
    <t>Bruno Bortoleto</t>
  </si>
  <si>
    <t>Barbara Caetano Ferro</t>
  </si>
  <si>
    <t>Sibele Bertoldo Guerreiro</t>
  </si>
  <si>
    <t>Filipe Jose Medeiros Brasil</t>
  </si>
  <si>
    <t>Taylon Roger Souza Santos</t>
  </si>
  <si>
    <t>Bruna Maria de Pina</t>
  </si>
  <si>
    <t>Yuri Oliveira Silva</t>
  </si>
  <si>
    <t>Augusto Hauschild Pellegrin</t>
  </si>
  <si>
    <t>Diego de Carvalho Frade</t>
  </si>
  <si>
    <t>Weslley Barbosa Umbelino</t>
  </si>
  <si>
    <t>Isac Apolonio de Moura Carvalho</t>
  </si>
  <si>
    <t>Luis Alberto Rodrigues de Assis</t>
  </si>
  <si>
    <t>Erik Emanoel dos Santos Xavier</t>
  </si>
  <si>
    <t>Laisse Evangelista Santos</t>
  </si>
  <si>
    <t>Nadia Braga de Lima Saraiva Fernandes</t>
  </si>
  <si>
    <t>Max Alan Pimenta Pena</t>
  </si>
  <si>
    <t>Clara Teixeira de Carvalho Bevilaqua</t>
  </si>
  <si>
    <t>Guilherme Henrique Santos Silva</t>
  </si>
  <si>
    <t>Marcio Kleber Ramos Filho</t>
  </si>
  <si>
    <t>Nubia Gomes Barbosa</t>
  </si>
  <si>
    <t>Jose Evilasio Barros Junior</t>
  </si>
  <si>
    <t>Rodrigo Gomes Rodrigues</t>
  </si>
  <si>
    <t>Launelle Cardozo Martins</t>
  </si>
  <si>
    <t>Sergio Garcia Fernandes</t>
  </si>
  <si>
    <t>Raissa Alecrim Ferreira</t>
  </si>
  <si>
    <t>Vanize de Freitas Guimaraes</t>
  </si>
  <si>
    <t>Bruna Martins Machado</t>
  </si>
  <si>
    <t>Rejane de Martins e Pinheiro</t>
  </si>
  <si>
    <t>Josiclene Silva Ponte de Brito</t>
  </si>
  <si>
    <t>Alexandre Jose da Silva Garrote</t>
  </si>
  <si>
    <t>Mateus Coelho Ferreira</t>
  </si>
  <si>
    <t>Phillipi Barack Carvalho de Macedo</t>
  </si>
  <si>
    <t>Priscila Dias de Almeida</t>
  </si>
  <si>
    <t>Erivelton Maximo Fonseca</t>
  </si>
  <si>
    <t>Fabiana Braga Lopes</t>
  </si>
  <si>
    <t>Marcelo Ferreira Hallac</t>
  </si>
  <si>
    <t>Priscila Aragao da Cruz</t>
  </si>
  <si>
    <t>Hugo da Costa Melo Gomes Ferreira</t>
  </si>
  <si>
    <t>Gabriel Pereira Mendes</t>
  </si>
  <si>
    <t>Isabella de Carvalho Scherrer</t>
  </si>
  <si>
    <t>Caio Carvalho Correia Barros</t>
  </si>
  <si>
    <t>Rafael Brandt</t>
  </si>
  <si>
    <t>Raquel Madureira de Araujo</t>
  </si>
  <si>
    <t>Barbara Avelar Cesar Moreira</t>
  </si>
  <si>
    <t>Henrique Otavio de Padua Borges</t>
  </si>
  <si>
    <t>Lara Santos Aguiar Dantas</t>
  </si>
  <si>
    <t>Carlos Alexandre Ataide dos Santos</t>
  </si>
  <si>
    <t>Debora Maria Franca Rodrigues</t>
  </si>
  <si>
    <t>Rafael Silva Antunes Quaresma</t>
  </si>
  <si>
    <t>Joao Paulo Alves da Cunha</t>
  </si>
  <si>
    <t>Yara Maues Batista</t>
  </si>
  <si>
    <t>Jonatas Dutra Gomes</t>
  </si>
  <si>
    <t>Matheus Santos Nascentes da Silva</t>
  </si>
  <si>
    <t>Paulo Thiago Galvao Mascarenhas</t>
  </si>
  <si>
    <t>Clarissa Rodrigues de Lima Barbosa</t>
  </si>
  <si>
    <t>Ana Giulia Pfau Machado</t>
  </si>
  <si>
    <t>Ana Paula dos Santos Silva Berte</t>
  </si>
  <si>
    <t>Giselle Kobata Kimura</t>
  </si>
  <si>
    <t>Ingrid Aparecida Monnerat de Lima</t>
  </si>
  <si>
    <t>Carlos Alexandre Alves da Cunha</t>
  </si>
  <si>
    <t>Jose Ribamar Sousa Duarte Junior</t>
  </si>
  <si>
    <t>Joao Vitor Santana Vieira</t>
  </si>
  <si>
    <t>Vitor Aguiar Pedrosa</t>
  </si>
  <si>
    <t>Igor Cruz da Silva</t>
  </si>
  <si>
    <t>Lucas Medeiros Sousa</t>
  </si>
  <si>
    <t>Igor Theodoroviz Barreto</t>
  </si>
  <si>
    <t>Elisete D Abadia Silva</t>
  </si>
  <si>
    <t>Ana Claudia de Souza Lopes</t>
  </si>
  <si>
    <t>Lais Kodama Correa de Moraes</t>
  </si>
  <si>
    <t>Antilio Fernandes Filho</t>
  </si>
  <si>
    <t>Claudia Regina dos Santos</t>
  </si>
  <si>
    <t>Renata de Jesus Araujo</t>
  </si>
  <si>
    <t>Angela Alvarenga Frutuoso</t>
  </si>
  <si>
    <t>Inscrição</t>
  </si>
  <si>
    <t>Nome</t>
  </si>
  <si>
    <t>Classificação ANTES CF</t>
  </si>
  <si>
    <t>Tipo de vaga</t>
  </si>
  <si>
    <t>NOTA NO CF</t>
  </si>
  <si>
    <t>NOTA FINAL</t>
  </si>
  <si>
    <t>Ordem de chamada</t>
  </si>
  <si>
    <t>Nomeado?</t>
  </si>
  <si>
    <t>Dupla aprovação (FC e PO)</t>
  </si>
  <si>
    <t>Ampla</t>
  </si>
  <si>
    <t>Negros</t>
  </si>
  <si>
    <t>Hipo</t>
  </si>
  <si>
    <t>Fernando Pericles Matos Gomes Filho</t>
  </si>
  <si>
    <t>Pedro Paulo Carvalho Orsano e Silva</t>
  </si>
  <si>
    <t>Kelly Martins Silveira Fernandes</t>
  </si>
  <si>
    <t>Danilo Mendes Guimarães</t>
  </si>
  <si>
    <t>Samara Alves de Oliveira Familiar</t>
  </si>
  <si>
    <t>Joao Victor de Oliveira Rocha</t>
  </si>
  <si>
    <t>Laercio Barros Rodrigues</t>
  </si>
  <si>
    <t>Thiago de Oliveira Gonçalves</t>
  </si>
  <si>
    <t>Josafa Neto Paixao dos Santos</t>
  </si>
  <si>
    <t>Cargo</t>
  </si>
  <si>
    <t>Planejamento e Orçamento</t>
  </si>
  <si>
    <t>Aprovados não nomeados</t>
  </si>
  <si>
    <t>Dupla Aprovação</t>
  </si>
  <si>
    <t>Sub Judice</t>
  </si>
  <si>
    <t>Quantitativo líquido</t>
  </si>
  <si>
    <t>Finanças e Controle</t>
  </si>
  <si>
    <t>não apresentou fim de fila</t>
  </si>
  <si>
    <t>7*</t>
  </si>
  <si>
    <t>*já excluído no cálculo de PO</t>
  </si>
  <si>
    <t>Obs: excluídos os aprovados sub judice</t>
  </si>
  <si>
    <t>Obrigação patronal (28% do teto do RGPS - R$ 8.475,55)</t>
  </si>
  <si>
    <t>Nomeações remanescentes na LDO 2026</t>
  </si>
  <si>
    <t>RGF 1º quadrimestre 2026</t>
  </si>
  <si>
    <t>Obs: Considerando 3 meses restantes do exercício de 2026</t>
  </si>
  <si>
    <t>Fonte: RGF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</si>
</sst>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44" fontId="0" fillId="0" borderId="0" xfId="1" applyFont="1"/>
    <xf numFmtId="10" fontId="0" fillId="0" borderId="0" xfId="0" applyNumberFormat="1"/>
    <xf numFmtId="9" fontId="0" fillId="0" borderId="0" xfId="0" applyNumberFormat="1"/>
    <xf numFmtId="44" fontId="0" fillId="0" borderId="0" xfId="0" applyNumberFormat="1"/>
    <xf numFmtId="0" fontId="0" fillId="0" borderId="0" xfId="0" applyAlignment="1">
      <alignment wrapText="1"/>
    </xf>
    <xf numFmtId="10" fontId="2" fillId="0" borderId="0" xfId="0" applyNumberFormat="1" applyFont="1"/>
    <xf numFmtId="10" fontId="4" fillId="0" borderId="0" xfId="0" applyNumberFormat="1" applyFont="1"/>
    <xf numFmtId="10" fontId="4" fillId="0" borderId="0" xfId="2" applyNumberFormat="1" applyFont="1"/>
    <xf numFmtId="0" fontId="2" fillId="0" borderId="0" xfId="0" applyFont="1"/>
    <xf numFmtId="0" fontId="3" fillId="0" borderId="0" xfId="0" applyFont="1"/>
    <xf numFmtId="10" fontId="5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4" fontId="0" fillId="0" borderId="0" xfId="1" applyFont="1" applyAlignment="1">
      <alignment vertical="center"/>
    </xf>
    <xf numFmtId="0" fontId="0" fillId="0" borderId="0" xfId="0" applyAlignment="1">
      <alignment vertical="center" wrapText="1"/>
    </xf>
    <xf numFmtId="10" fontId="4" fillId="0" borderId="0" xfId="2" applyNumberFormat="1" applyFont="1" applyAlignment="1">
      <alignment vertical="center"/>
    </xf>
    <xf numFmtId="4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0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0" fontId="5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4" borderId="3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wrapText="1"/>
    </xf>
    <xf numFmtId="0" fontId="9" fillId="4" borderId="4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right" wrapText="1"/>
    </xf>
    <xf numFmtId="0" fontId="9" fillId="5" borderId="3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wrapText="1"/>
    </xf>
    <xf numFmtId="0" fontId="9" fillId="5" borderId="4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right" wrapText="1"/>
    </xf>
    <xf numFmtId="0" fontId="9" fillId="6" borderId="4" xfId="0" applyFont="1" applyFill="1" applyBorder="1" applyAlignment="1">
      <alignment horizontal="center" wrapText="1"/>
    </xf>
    <xf numFmtId="0" fontId="9" fillId="7" borderId="4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9" fillId="8" borderId="3" xfId="0" applyFont="1" applyFill="1" applyBorder="1" applyAlignment="1">
      <alignment horizontal="right" wrapText="1"/>
    </xf>
    <xf numFmtId="0" fontId="9" fillId="8" borderId="4" xfId="0" applyFont="1" applyFill="1" applyBorder="1" applyAlignment="1">
      <alignment wrapText="1"/>
    </xf>
    <xf numFmtId="0" fontId="9" fillId="8" borderId="4" xfId="0" applyFont="1" applyFill="1" applyBorder="1" applyAlignment="1">
      <alignment horizontal="right" wrapText="1"/>
    </xf>
    <xf numFmtId="0" fontId="9" fillId="8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9" borderId="3" xfId="0" applyFont="1" applyFill="1" applyBorder="1" applyAlignment="1">
      <alignment horizontal="right" wrapText="1"/>
    </xf>
    <xf numFmtId="0" fontId="9" fillId="9" borderId="4" xfId="0" applyFont="1" applyFill="1" applyBorder="1" applyAlignment="1">
      <alignment wrapText="1"/>
    </xf>
    <xf numFmtId="0" fontId="9" fillId="9" borderId="4" xfId="0" applyFont="1" applyFill="1" applyBorder="1" applyAlignment="1">
      <alignment horizontal="right" wrapText="1"/>
    </xf>
    <xf numFmtId="0" fontId="9" fillId="9" borderId="4" xfId="0" applyFont="1" applyFill="1" applyBorder="1" applyAlignment="1">
      <alignment horizontal="center" wrapText="1"/>
    </xf>
    <xf numFmtId="0" fontId="9" fillId="10" borderId="3" xfId="0" applyFont="1" applyFill="1" applyBorder="1" applyAlignment="1">
      <alignment horizontal="right" wrapText="1"/>
    </xf>
    <xf numFmtId="0" fontId="9" fillId="10" borderId="4" xfId="0" applyFont="1" applyFill="1" applyBorder="1" applyAlignment="1">
      <alignment wrapText="1"/>
    </xf>
    <xf numFmtId="0" fontId="9" fillId="10" borderId="4" xfId="0" applyFont="1" applyFill="1" applyBorder="1" applyAlignment="1">
      <alignment horizontal="right" wrapText="1"/>
    </xf>
    <xf numFmtId="0" fontId="9" fillId="10" borderId="4" xfId="0" applyFont="1" applyFill="1" applyBorder="1" applyAlignment="1">
      <alignment horizontal="center" wrapText="1"/>
    </xf>
    <xf numFmtId="0" fontId="9" fillId="11" borderId="3" xfId="0" applyFont="1" applyFill="1" applyBorder="1" applyAlignment="1">
      <alignment horizontal="right" wrapText="1"/>
    </xf>
    <xf numFmtId="0" fontId="9" fillId="11" borderId="4" xfId="0" applyFont="1" applyFill="1" applyBorder="1" applyAlignment="1">
      <alignment wrapText="1"/>
    </xf>
    <xf numFmtId="0" fontId="9" fillId="11" borderId="4" xfId="0" applyFont="1" applyFill="1" applyBorder="1" applyAlignment="1">
      <alignment horizontal="right" wrapText="1"/>
    </xf>
    <xf numFmtId="0" fontId="9" fillId="11" borderId="4" xfId="0" applyFont="1" applyFill="1" applyBorder="1" applyAlignment="1">
      <alignment horizontal="center" wrapText="1"/>
    </xf>
    <xf numFmtId="0" fontId="9" fillId="12" borderId="4" xfId="0" applyFont="1" applyFill="1" applyBorder="1" applyAlignment="1">
      <alignment horizontal="center" wrapText="1"/>
    </xf>
    <xf numFmtId="0" fontId="0" fillId="0" borderId="5" xfId="0" applyBorder="1"/>
    <xf numFmtId="0" fontId="3" fillId="0" borderId="5" xfId="0" applyFont="1" applyBorder="1"/>
    <xf numFmtId="0" fontId="2" fillId="0" borderId="5" xfId="0" applyFont="1" applyBorder="1" applyAlignment="1">
      <alignment horizontal="right"/>
    </xf>
    <xf numFmtId="0" fontId="4" fillId="13" borderId="6" xfId="0" applyFont="1" applyFill="1" applyBorder="1" applyAlignment="1">
      <alignment vertical="center"/>
    </xf>
    <xf numFmtId="44" fontId="4" fillId="13" borderId="7" xfId="0" applyNumberFormat="1" applyFont="1" applyFill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A12" sqref="A1:XFD1048576"/>
    </sheetView>
  </sheetViews>
  <sheetFormatPr baseColWidth="10" defaultColWidth="11" defaultRowHeight="16" x14ac:dyDescent="0.2"/>
  <cols>
    <col min="1" max="1" width="78.33203125" bestFit="1" customWidth="1"/>
    <col min="2" max="2" width="20.33203125" bestFit="1" customWidth="1"/>
  </cols>
  <sheetData>
    <row r="1" spans="1:2" x14ac:dyDescent="0.2">
      <c r="A1" s="10" t="s">
        <v>0</v>
      </c>
    </row>
    <row r="3" spans="1:2" x14ac:dyDescent="0.2">
      <c r="A3" t="s">
        <v>1</v>
      </c>
      <c r="B3" s="1">
        <v>32223601389.060001</v>
      </c>
    </row>
    <row r="5" spans="1:2" x14ac:dyDescent="0.2">
      <c r="A5" t="s">
        <v>2</v>
      </c>
      <c r="B5" s="1">
        <v>11667703238.48</v>
      </c>
    </row>
    <row r="7" spans="1:2" x14ac:dyDescent="0.2">
      <c r="A7" t="s">
        <v>3</v>
      </c>
      <c r="B7" s="8">
        <f>B5/B3</f>
        <v>0.36208563709583425</v>
      </c>
    </row>
    <row r="9" spans="1:2" x14ac:dyDescent="0.2">
      <c r="A9" t="s">
        <v>4</v>
      </c>
      <c r="B9" s="2">
        <v>0.441</v>
      </c>
    </row>
    <row r="10" spans="1:2" x14ac:dyDescent="0.2">
      <c r="A10" t="s">
        <v>5</v>
      </c>
      <c r="B10" s="6">
        <v>0.46550000000000002</v>
      </c>
    </row>
    <row r="11" spans="1:2" x14ac:dyDescent="0.2">
      <c r="A11" t="s">
        <v>6</v>
      </c>
      <c r="B11" s="3">
        <v>0.49</v>
      </c>
    </row>
    <row r="13" spans="1:2" x14ac:dyDescent="0.2">
      <c r="A13" t="s">
        <v>7</v>
      </c>
      <c r="B13" s="6">
        <f>B10-B7</f>
        <v>0.10341436290416578</v>
      </c>
    </row>
    <row r="15" spans="1:2" x14ac:dyDescent="0.2">
      <c r="A15" t="s">
        <v>10</v>
      </c>
      <c r="B15" s="9">
        <v>230</v>
      </c>
    </row>
    <row r="17" spans="1:2" x14ac:dyDescent="0.2">
      <c r="A17" s="10" t="s">
        <v>8</v>
      </c>
    </row>
    <row r="19" spans="1:2" ht="34" x14ac:dyDescent="0.2">
      <c r="A19" s="5" t="s">
        <v>19</v>
      </c>
      <c r="B19">
        <f>9562.8+112+956.28+420+(4770*1.06)</f>
        <v>16107.279999999999</v>
      </c>
    </row>
    <row r="21" spans="1:2" x14ac:dyDescent="0.2">
      <c r="A21" t="s">
        <v>14</v>
      </c>
      <c r="B21" s="1">
        <f>0.14*7613.8</f>
        <v>1065.932</v>
      </c>
    </row>
    <row r="23" spans="1:2" x14ac:dyDescent="0.2">
      <c r="A23" t="s">
        <v>9</v>
      </c>
      <c r="B23" s="4">
        <f>(B19+B21)*13.3</f>
        <v>228403.71960000001</v>
      </c>
    </row>
    <row r="25" spans="1:2" x14ac:dyDescent="0.2">
      <c r="A25" t="s">
        <v>11</v>
      </c>
      <c r="B25" s="4">
        <f>B23</f>
        <v>228403.71960000001</v>
      </c>
    </row>
    <row r="27" spans="1:2" x14ac:dyDescent="0.2">
      <c r="A27" t="s">
        <v>12</v>
      </c>
      <c r="B27" s="4">
        <f>B25*B15</f>
        <v>52532855.508000001</v>
      </c>
    </row>
    <row r="29" spans="1:2" ht="21" x14ac:dyDescent="0.25">
      <c r="A29" t="s">
        <v>13</v>
      </c>
      <c r="B29" s="11">
        <f>((B27+B5)/B3)-B7</f>
        <v>1.6302602205672256E-3</v>
      </c>
    </row>
    <row r="31" spans="1:2" x14ac:dyDescent="0.2">
      <c r="A31" t="s">
        <v>15</v>
      </c>
      <c r="B31" s="7">
        <f>B7+B29</f>
        <v>0.36371589731640147</v>
      </c>
    </row>
    <row r="33" spans="1:2" x14ac:dyDescent="0.2">
      <c r="A33" t="s">
        <v>7</v>
      </c>
      <c r="B33" s="6">
        <f>B10-B31</f>
        <v>0.10178410268359855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C15" sqref="C15"/>
    </sheetView>
  </sheetViews>
  <sheetFormatPr baseColWidth="10" defaultColWidth="11" defaultRowHeight="16" x14ac:dyDescent="0.2"/>
  <cols>
    <col min="1" max="1" width="18.83203125" bestFit="1" customWidth="1"/>
    <col min="2" max="2" width="16.83203125" bestFit="1" customWidth="1"/>
  </cols>
  <sheetData>
    <row r="1" spans="1:6" x14ac:dyDescent="0.2">
      <c r="A1" t="s">
        <v>20</v>
      </c>
      <c r="B1" s="1">
        <v>7842451.001000002</v>
      </c>
    </row>
    <row r="3" spans="1:6" x14ac:dyDescent="0.2">
      <c r="A3" t="s">
        <v>21</v>
      </c>
      <c r="B3" s="1">
        <v>52532855.508000001</v>
      </c>
    </row>
    <row r="5" spans="1:6" x14ac:dyDescent="0.2">
      <c r="A5" t="s">
        <v>22</v>
      </c>
      <c r="B5" s="4">
        <f>B3-B1</f>
        <v>44690404.506999999</v>
      </c>
      <c r="D5">
        <v>44690404.506999999</v>
      </c>
    </row>
    <row r="7" spans="1:6" x14ac:dyDescent="0.2">
      <c r="A7" t="s">
        <v>23</v>
      </c>
      <c r="B7" s="8">
        <f>B5/'103'!B3</f>
        <v>1.3868842271048112E-3</v>
      </c>
    </row>
    <row r="16" spans="1:6" x14ac:dyDescent="0.2">
      <c r="F16">
        <v>44690404.506999999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workbookViewId="0">
      <selection activeCell="B14" sqref="B14"/>
    </sheetView>
  </sheetViews>
  <sheetFormatPr baseColWidth="10" defaultColWidth="11" defaultRowHeight="16" x14ac:dyDescent="0.2"/>
  <cols>
    <col min="1" max="1" width="81.5" style="13" bestFit="1" customWidth="1"/>
    <col min="2" max="3" width="20.33203125" style="13" bestFit="1" customWidth="1"/>
    <col min="4" max="4" width="17.33203125" style="13" customWidth="1"/>
    <col min="5" max="5" width="51.6640625" style="13" customWidth="1"/>
    <col min="6" max="6" width="19" style="13" bestFit="1" customWidth="1"/>
    <col min="7" max="7" width="24.33203125" style="13" customWidth="1"/>
    <col min="8" max="16384" width="11" style="13"/>
  </cols>
  <sheetData>
    <row r="1" spans="1:7" x14ac:dyDescent="0.2">
      <c r="A1" s="12" t="s">
        <v>223</v>
      </c>
    </row>
    <row r="2" spans="1:7" x14ac:dyDescent="0.2">
      <c r="E2" s="14"/>
    </row>
    <row r="3" spans="1:7" x14ac:dyDescent="0.2">
      <c r="A3" s="13" t="s">
        <v>1</v>
      </c>
      <c r="B3" s="15">
        <v>40291077155.510002</v>
      </c>
      <c r="E3" s="16"/>
      <c r="F3" s="15"/>
    </row>
    <row r="5" spans="1:7" x14ac:dyDescent="0.2">
      <c r="A5" s="13" t="s">
        <v>2</v>
      </c>
      <c r="B5" s="15">
        <v>16298140188.23</v>
      </c>
      <c r="F5" s="15"/>
    </row>
    <row r="7" spans="1:7" x14ac:dyDescent="0.2">
      <c r="A7" s="13" t="s">
        <v>3</v>
      </c>
      <c r="B7" s="17">
        <f>B5/B3</f>
        <v>0.40450991482120624</v>
      </c>
      <c r="F7" s="18"/>
    </row>
    <row r="9" spans="1:7" x14ac:dyDescent="0.2">
      <c r="A9" s="13" t="s">
        <v>4</v>
      </c>
      <c r="B9" s="19">
        <v>0.441</v>
      </c>
      <c r="C9" s="18">
        <f>B9*$B$3</f>
        <v>17768365025.57991</v>
      </c>
      <c r="F9" s="18"/>
    </row>
    <row r="10" spans="1:7" x14ac:dyDescent="0.2">
      <c r="A10" s="13" t="s">
        <v>5</v>
      </c>
      <c r="B10" s="20">
        <v>0.46550000000000002</v>
      </c>
      <c r="C10" s="18">
        <f t="shared" ref="C10:C11" si="0">B10*$B$3</f>
        <v>18755496415.889908</v>
      </c>
      <c r="G10" s="21"/>
    </row>
    <row r="11" spans="1:7" x14ac:dyDescent="0.2">
      <c r="A11" s="13" t="s">
        <v>6</v>
      </c>
      <c r="B11" s="22">
        <v>0.49</v>
      </c>
      <c r="C11" s="18">
        <f t="shared" si="0"/>
        <v>19742627806.199902</v>
      </c>
      <c r="F11" s="18"/>
      <c r="G11" s="18"/>
    </row>
    <row r="13" spans="1:7" x14ac:dyDescent="0.2">
      <c r="A13" s="13" t="s">
        <v>7</v>
      </c>
      <c r="B13" s="20">
        <f>B10-B7</f>
        <v>6.0990085178793785E-2</v>
      </c>
      <c r="G13" s="16"/>
    </row>
    <row r="14" spans="1:7" x14ac:dyDescent="0.2">
      <c r="F14" s="18"/>
      <c r="G14" s="23"/>
    </row>
    <row r="15" spans="1:7" x14ac:dyDescent="0.2">
      <c r="A15" s="13" t="s">
        <v>222</v>
      </c>
      <c r="B15" s="14">
        <v>121</v>
      </c>
      <c r="G15" s="16"/>
    </row>
    <row r="16" spans="1:7" x14ac:dyDescent="0.2">
      <c r="F16" s="18"/>
      <c r="G16" s="23"/>
    </row>
    <row r="17" spans="1:5" x14ac:dyDescent="0.2">
      <c r="A17" s="12" t="s">
        <v>25</v>
      </c>
    </row>
    <row r="18" spans="1:5" x14ac:dyDescent="0.2">
      <c r="A18" s="14" t="s">
        <v>224</v>
      </c>
      <c r="E18" s="24"/>
    </row>
    <row r="19" spans="1:5" ht="34" x14ac:dyDescent="0.2">
      <c r="A19" s="16" t="s">
        <v>24</v>
      </c>
      <c r="B19" s="15">
        <f>23479.09+112+420</f>
        <v>24011.09</v>
      </c>
    </row>
    <row r="21" spans="1:5" x14ac:dyDescent="0.2">
      <c r="A21" s="13" t="s">
        <v>221</v>
      </c>
      <c r="B21" s="15">
        <f>0.28*8475.55</f>
        <v>2373.154</v>
      </c>
    </row>
    <row r="23" spans="1:5" x14ac:dyDescent="0.2">
      <c r="A23" s="13" t="s">
        <v>26</v>
      </c>
      <c r="B23" s="18">
        <v>0</v>
      </c>
    </row>
    <row r="25" spans="1:5" x14ac:dyDescent="0.2">
      <c r="A25" s="13" t="s">
        <v>11</v>
      </c>
      <c r="B25" s="18">
        <f>(B19+B21)*3</f>
        <v>79152.731999999989</v>
      </c>
      <c r="D25" s="18"/>
    </row>
    <row r="26" spans="1:5" ht="17" thickBot="1" x14ac:dyDescent="0.25"/>
    <row r="27" spans="1:5" ht="17" thickBot="1" x14ac:dyDescent="0.25">
      <c r="A27" s="70" t="s">
        <v>12</v>
      </c>
      <c r="B27" s="71">
        <f>B25*B15</f>
        <v>9577480.5719999988</v>
      </c>
      <c r="D27" s="19"/>
    </row>
    <row r="29" spans="1:5" ht="21" x14ac:dyDescent="0.2">
      <c r="A29" s="13" t="s">
        <v>13</v>
      </c>
      <c r="B29" s="25">
        <f>((B27+B5)/B3)-B7</f>
        <v>2.3770723565008645E-4</v>
      </c>
    </row>
    <row r="31" spans="1:5" x14ac:dyDescent="0.2">
      <c r="A31" s="13" t="s">
        <v>15</v>
      </c>
      <c r="B31" s="26">
        <f>B7+B29</f>
        <v>0.40474762205685633</v>
      </c>
    </row>
    <row r="33" spans="1:2" x14ac:dyDescent="0.2">
      <c r="A33" s="13" t="s">
        <v>7</v>
      </c>
      <c r="B33" s="20">
        <f>B10-B31</f>
        <v>6.0752377943143698E-2</v>
      </c>
    </row>
    <row r="35" spans="1:2" x14ac:dyDescent="0.2">
      <c r="A35" s="24" t="s">
        <v>225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D13" sqref="D13"/>
    </sheetView>
  </sheetViews>
  <sheetFormatPr baseColWidth="10" defaultColWidth="8.83203125" defaultRowHeight="16" x14ac:dyDescent="0.2"/>
  <cols>
    <col min="1" max="1" width="33.33203125" bestFit="1" customWidth="1"/>
    <col min="2" max="2" width="23.6640625" bestFit="1" customWidth="1"/>
    <col min="3" max="3" width="15.6640625" bestFit="1" customWidth="1"/>
    <col min="4" max="4" width="9.83203125" bestFit="1" customWidth="1"/>
    <col min="5" max="6" width="25.1640625" bestFit="1" customWidth="1"/>
  </cols>
  <sheetData>
    <row r="1" spans="1:5" x14ac:dyDescent="0.2">
      <c r="A1" s="68" t="s">
        <v>210</v>
      </c>
      <c r="B1" s="68" t="s">
        <v>212</v>
      </c>
      <c r="C1" s="68" t="s">
        <v>213</v>
      </c>
      <c r="D1" s="68" t="s">
        <v>214</v>
      </c>
      <c r="E1" s="68" t="s">
        <v>215</v>
      </c>
    </row>
    <row r="2" spans="1:5" x14ac:dyDescent="0.2">
      <c r="A2" s="67" t="s">
        <v>211</v>
      </c>
      <c r="B2" s="67">
        <v>15</v>
      </c>
      <c r="C2" s="67">
        <v>7</v>
      </c>
      <c r="D2" s="67">
        <v>1</v>
      </c>
      <c r="E2" s="67">
        <f>B2-C2-D2</f>
        <v>7</v>
      </c>
    </row>
    <row r="3" spans="1:5" x14ac:dyDescent="0.2">
      <c r="A3" s="67" t="s">
        <v>216</v>
      </c>
      <c r="B3" s="67">
        <v>142</v>
      </c>
      <c r="C3" s="69" t="s">
        <v>218</v>
      </c>
      <c r="D3" s="67">
        <v>17</v>
      </c>
      <c r="E3" s="67">
        <f>B3-D3</f>
        <v>125</v>
      </c>
    </row>
    <row r="4" spans="1:5" x14ac:dyDescent="0.2">
      <c r="A4" s="67" t="s">
        <v>20</v>
      </c>
      <c r="B4" s="67"/>
      <c r="C4" s="67"/>
      <c r="D4" s="67"/>
      <c r="E4" s="67">
        <f>E2+E3</f>
        <v>132</v>
      </c>
    </row>
    <row r="5" spans="1:5" x14ac:dyDescent="0.2">
      <c r="E5" t="s">
        <v>219</v>
      </c>
    </row>
    <row r="6" spans="1:5" x14ac:dyDescent="0.2">
      <c r="A6" s="9" t="s">
        <v>220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3"/>
  <sheetViews>
    <sheetView topLeftCell="A131" workbookViewId="0">
      <selection activeCell="A2" sqref="A2:A143"/>
    </sheetView>
  </sheetViews>
  <sheetFormatPr baseColWidth="10" defaultColWidth="8.83203125" defaultRowHeight="16" x14ac:dyDescent="0.2"/>
  <cols>
    <col min="12" max="12" width="22.6640625" bestFit="1" customWidth="1"/>
  </cols>
  <sheetData>
    <row r="1" spans="1:11" ht="58" thickBot="1" x14ac:dyDescent="0.25">
      <c r="A1" s="27" t="s">
        <v>27</v>
      </c>
      <c r="B1" s="28" t="s">
        <v>28</v>
      </c>
      <c r="C1" s="28" t="s">
        <v>29</v>
      </c>
      <c r="D1" s="29" t="s">
        <v>30</v>
      </c>
      <c r="E1" s="29" t="s">
        <v>31</v>
      </c>
      <c r="F1" s="29" t="s">
        <v>32</v>
      </c>
      <c r="G1" s="29" t="s">
        <v>33</v>
      </c>
      <c r="H1" s="29" t="s">
        <v>34</v>
      </c>
      <c r="I1" s="29" t="s">
        <v>35</v>
      </c>
      <c r="J1" s="29" t="s">
        <v>36</v>
      </c>
      <c r="K1" s="29" t="s">
        <v>37</v>
      </c>
    </row>
    <row r="2" spans="1:11" ht="58" thickBot="1" x14ac:dyDescent="0.25">
      <c r="A2" s="30">
        <v>44</v>
      </c>
      <c r="B2" s="31" t="s">
        <v>38</v>
      </c>
      <c r="C2" s="32">
        <v>24</v>
      </c>
      <c r="D2" s="33">
        <v>10004079</v>
      </c>
      <c r="E2" s="31" t="s">
        <v>44</v>
      </c>
      <c r="F2" s="33">
        <v>231.93</v>
      </c>
      <c r="G2" s="43" t="s">
        <v>34</v>
      </c>
      <c r="H2" s="34" t="s">
        <v>34</v>
      </c>
      <c r="I2" s="34"/>
      <c r="J2" s="34"/>
      <c r="K2" s="34"/>
    </row>
    <row r="3" spans="1:11" ht="58" thickBot="1" x14ac:dyDescent="0.25">
      <c r="A3" s="35">
        <v>58</v>
      </c>
      <c r="B3" s="36" t="s">
        <v>41</v>
      </c>
      <c r="C3" s="37">
        <v>12</v>
      </c>
      <c r="D3" s="38">
        <v>10005589</v>
      </c>
      <c r="E3" s="36" t="s">
        <v>45</v>
      </c>
      <c r="F3" s="38">
        <v>209.25</v>
      </c>
      <c r="G3" s="43" t="s">
        <v>34</v>
      </c>
      <c r="H3" s="34" t="s">
        <v>34</v>
      </c>
      <c r="I3" s="34"/>
      <c r="J3" s="34"/>
      <c r="K3" s="34"/>
    </row>
    <row r="4" spans="1:11" ht="58" thickBot="1" x14ac:dyDescent="0.25">
      <c r="A4" s="30">
        <v>62</v>
      </c>
      <c r="B4" s="31" t="s">
        <v>38</v>
      </c>
      <c r="C4" s="32">
        <v>35</v>
      </c>
      <c r="D4" s="33">
        <v>10005250</v>
      </c>
      <c r="E4" s="31" t="s">
        <v>46</v>
      </c>
      <c r="F4" s="33">
        <v>227.97</v>
      </c>
      <c r="G4" s="44" t="s">
        <v>47</v>
      </c>
      <c r="H4" s="34"/>
      <c r="I4" s="34"/>
      <c r="J4" s="34"/>
      <c r="K4" s="34"/>
    </row>
    <row r="5" spans="1:11" ht="58" thickBot="1" x14ac:dyDescent="0.25">
      <c r="A5" s="39">
        <v>65</v>
      </c>
      <c r="B5" s="40" t="s">
        <v>43</v>
      </c>
      <c r="C5" s="41">
        <v>13</v>
      </c>
      <c r="D5" s="42">
        <v>10000439</v>
      </c>
      <c r="E5" s="40" t="s">
        <v>49</v>
      </c>
      <c r="F5" s="42">
        <v>178.6</v>
      </c>
      <c r="G5" s="44" t="s">
        <v>47</v>
      </c>
      <c r="H5" s="34"/>
      <c r="I5" s="34"/>
      <c r="J5" s="34" t="s">
        <v>42</v>
      </c>
      <c r="K5" s="34"/>
    </row>
    <row r="6" spans="1:11" ht="58" thickBot="1" x14ac:dyDescent="0.25">
      <c r="A6" s="30">
        <v>66</v>
      </c>
      <c r="B6" s="31" t="s">
        <v>38</v>
      </c>
      <c r="C6" s="32">
        <v>37</v>
      </c>
      <c r="D6" s="33">
        <v>10001353</v>
      </c>
      <c r="E6" s="31" t="s">
        <v>50</v>
      </c>
      <c r="F6" s="33">
        <v>227.68</v>
      </c>
      <c r="G6" s="44" t="s">
        <v>47</v>
      </c>
      <c r="H6" s="34"/>
      <c r="I6" s="34" t="s">
        <v>39</v>
      </c>
      <c r="J6" s="34"/>
      <c r="K6" s="34"/>
    </row>
    <row r="7" spans="1:11" ht="58" thickBot="1" x14ac:dyDescent="0.25">
      <c r="A7" s="30">
        <v>67</v>
      </c>
      <c r="B7" s="31" t="s">
        <v>38</v>
      </c>
      <c r="C7" s="32">
        <v>38</v>
      </c>
      <c r="D7" s="33">
        <v>10006963</v>
      </c>
      <c r="E7" s="31" t="s">
        <v>51</v>
      </c>
      <c r="F7" s="33">
        <v>227.65</v>
      </c>
      <c r="G7" s="34"/>
      <c r="H7" s="34"/>
      <c r="I7" s="34"/>
      <c r="J7" s="34" t="s">
        <v>42</v>
      </c>
      <c r="K7" s="34"/>
    </row>
    <row r="8" spans="1:11" ht="44" thickBot="1" x14ac:dyDescent="0.25">
      <c r="A8" s="30">
        <v>69</v>
      </c>
      <c r="B8" s="31" t="s">
        <v>38</v>
      </c>
      <c r="C8" s="32">
        <v>39</v>
      </c>
      <c r="D8" s="33">
        <v>10002405</v>
      </c>
      <c r="E8" s="31" t="s">
        <v>52</v>
      </c>
      <c r="F8" s="33">
        <v>227.58</v>
      </c>
      <c r="G8" s="34"/>
      <c r="H8" s="34"/>
      <c r="I8" s="34"/>
      <c r="J8" s="34" t="s">
        <v>42</v>
      </c>
      <c r="K8" s="34"/>
    </row>
    <row r="9" spans="1:11" ht="44" thickBot="1" x14ac:dyDescent="0.25">
      <c r="A9" s="39">
        <v>70</v>
      </c>
      <c r="B9" s="40" t="s">
        <v>43</v>
      </c>
      <c r="C9" s="41">
        <v>14</v>
      </c>
      <c r="D9" s="42">
        <v>10001876</v>
      </c>
      <c r="E9" s="40" t="s">
        <v>53</v>
      </c>
      <c r="F9" s="42">
        <v>167.13</v>
      </c>
      <c r="G9" s="34"/>
      <c r="H9" s="34"/>
      <c r="I9" s="34"/>
      <c r="J9" s="34"/>
      <c r="K9" s="34"/>
    </row>
    <row r="10" spans="1:11" ht="72" thickBot="1" x14ac:dyDescent="0.25">
      <c r="A10" s="30">
        <v>71</v>
      </c>
      <c r="B10" s="31" t="s">
        <v>38</v>
      </c>
      <c r="C10" s="32">
        <v>40</v>
      </c>
      <c r="D10" s="33">
        <v>10007235</v>
      </c>
      <c r="E10" s="31" t="s">
        <v>54</v>
      </c>
      <c r="F10" s="33">
        <v>227.5</v>
      </c>
      <c r="G10" s="34"/>
      <c r="H10" s="34"/>
      <c r="I10" s="34" t="s">
        <v>39</v>
      </c>
      <c r="J10" s="34"/>
      <c r="K10" s="34"/>
    </row>
    <row r="11" spans="1:11" ht="44" thickBot="1" x14ac:dyDescent="0.25">
      <c r="A11" s="30">
        <v>72</v>
      </c>
      <c r="B11" s="31" t="s">
        <v>38</v>
      </c>
      <c r="C11" s="32">
        <v>41</v>
      </c>
      <c r="D11" s="33">
        <v>10005463</v>
      </c>
      <c r="E11" s="31" t="s">
        <v>55</v>
      </c>
      <c r="F11" s="33">
        <v>227.36</v>
      </c>
      <c r="G11" s="34"/>
      <c r="H11" s="34"/>
      <c r="I11" s="34"/>
      <c r="J11" s="34"/>
      <c r="K11" s="34"/>
    </row>
    <row r="12" spans="1:11" ht="44" thickBot="1" x14ac:dyDescent="0.25">
      <c r="A12" s="35">
        <v>73</v>
      </c>
      <c r="B12" s="36" t="s">
        <v>41</v>
      </c>
      <c r="C12" s="37">
        <v>15</v>
      </c>
      <c r="D12" s="38">
        <v>10004930</v>
      </c>
      <c r="E12" s="36" t="s">
        <v>56</v>
      </c>
      <c r="F12" s="38">
        <v>206.9</v>
      </c>
      <c r="G12" s="44" t="s">
        <v>47</v>
      </c>
      <c r="H12" s="34"/>
      <c r="I12" s="34"/>
      <c r="J12" s="34"/>
      <c r="K12" s="34"/>
    </row>
    <row r="13" spans="1:11" ht="44" thickBot="1" x14ac:dyDescent="0.25">
      <c r="A13" s="30">
        <v>74</v>
      </c>
      <c r="B13" s="31" t="s">
        <v>38</v>
      </c>
      <c r="C13" s="32">
        <v>42</v>
      </c>
      <c r="D13" s="33">
        <v>10005563</v>
      </c>
      <c r="E13" s="31" t="s">
        <v>57</v>
      </c>
      <c r="F13" s="33">
        <v>227.24</v>
      </c>
      <c r="G13" s="34"/>
      <c r="H13" s="34"/>
      <c r="I13" s="34"/>
      <c r="J13" s="34"/>
      <c r="K13" s="34"/>
    </row>
    <row r="14" spans="1:11" ht="72" thickBot="1" x14ac:dyDescent="0.25">
      <c r="A14" s="30">
        <v>76</v>
      </c>
      <c r="B14" s="31" t="s">
        <v>38</v>
      </c>
      <c r="C14" s="32">
        <v>44</v>
      </c>
      <c r="D14" s="33">
        <v>10001569</v>
      </c>
      <c r="E14" s="31" t="s">
        <v>58</v>
      </c>
      <c r="F14" s="33">
        <v>226.77</v>
      </c>
      <c r="G14" s="34"/>
      <c r="H14" s="34"/>
      <c r="I14" s="34"/>
      <c r="J14" s="34"/>
      <c r="K14" s="34"/>
    </row>
    <row r="15" spans="1:11" ht="58" thickBot="1" x14ac:dyDescent="0.25">
      <c r="A15" s="30">
        <v>77</v>
      </c>
      <c r="B15" s="31" t="s">
        <v>38</v>
      </c>
      <c r="C15" s="32">
        <v>45</v>
      </c>
      <c r="D15" s="33">
        <v>10005255</v>
      </c>
      <c r="E15" s="31" t="s">
        <v>59</v>
      </c>
      <c r="F15" s="33">
        <v>226.18</v>
      </c>
      <c r="G15" s="34"/>
      <c r="H15" s="34"/>
      <c r="I15" s="34"/>
      <c r="J15" s="34"/>
      <c r="K15" s="34"/>
    </row>
    <row r="16" spans="1:11" ht="72" thickBot="1" x14ac:dyDescent="0.25">
      <c r="A16" s="35">
        <v>78</v>
      </c>
      <c r="B16" s="36" t="s">
        <v>41</v>
      </c>
      <c r="C16" s="37">
        <v>16</v>
      </c>
      <c r="D16" s="38">
        <v>10001899</v>
      </c>
      <c r="E16" s="36" t="s">
        <v>60</v>
      </c>
      <c r="F16" s="38">
        <v>205.19</v>
      </c>
      <c r="G16" s="34"/>
      <c r="H16" s="34"/>
      <c r="I16" s="34" t="s">
        <v>39</v>
      </c>
      <c r="J16" s="34"/>
      <c r="K16" s="34"/>
    </row>
    <row r="17" spans="1:11" ht="72" thickBot="1" x14ac:dyDescent="0.25">
      <c r="A17" s="30">
        <v>79</v>
      </c>
      <c r="B17" s="31" t="s">
        <v>38</v>
      </c>
      <c r="C17" s="32">
        <v>46</v>
      </c>
      <c r="D17" s="33">
        <v>10001290</v>
      </c>
      <c r="E17" s="31" t="s">
        <v>61</v>
      </c>
      <c r="F17" s="33">
        <v>226.18</v>
      </c>
      <c r="G17" s="34"/>
      <c r="H17" s="34"/>
      <c r="I17" s="34"/>
      <c r="J17" s="34"/>
      <c r="K17" s="34"/>
    </row>
    <row r="18" spans="1:11" ht="44" thickBot="1" x14ac:dyDescent="0.25">
      <c r="A18" s="30">
        <v>80</v>
      </c>
      <c r="B18" s="31" t="s">
        <v>38</v>
      </c>
      <c r="C18" s="32">
        <v>47</v>
      </c>
      <c r="D18" s="33">
        <v>10004448</v>
      </c>
      <c r="E18" s="31" t="s">
        <v>62</v>
      </c>
      <c r="F18" s="33">
        <v>226.11</v>
      </c>
      <c r="G18" s="34"/>
      <c r="H18" s="34"/>
      <c r="I18" s="34"/>
      <c r="J18" s="34"/>
      <c r="K18" s="34"/>
    </row>
    <row r="19" spans="1:11" ht="58" thickBot="1" x14ac:dyDescent="0.25">
      <c r="A19" s="30">
        <v>81</v>
      </c>
      <c r="B19" s="31" t="s">
        <v>38</v>
      </c>
      <c r="C19" s="32">
        <v>48</v>
      </c>
      <c r="D19" s="33">
        <v>10006539</v>
      </c>
      <c r="E19" s="31" t="s">
        <v>63</v>
      </c>
      <c r="F19" s="33">
        <v>226.01</v>
      </c>
      <c r="G19" s="34"/>
      <c r="H19" s="34"/>
      <c r="I19" s="34"/>
      <c r="J19" s="34"/>
      <c r="K19" s="34"/>
    </row>
    <row r="20" spans="1:11" ht="86" thickBot="1" x14ac:dyDescent="0.25">
      <c r="A20" s="35">
        <v>83</v>
      </c>
      <c r="B20" s="36" t="s">
        <v>41</v>
      </c>
      <c r="C20" s="37">
        <v>17</v>
      </c>
      <c r="D20" s="38">
        <v>10004150</v>
      </c>
      <c r="E20" s="36" t="s">
        <v>64</v>
      </c>
      <c r="F20" s="38">
        <v>202.61</v>
      </c>
      <c r="G20" s="34"/>
      <c r="H20" s="34"/>
      <c r="I20" s="34" t="s">
        <v>39</v>
      </c>
      <c r="J20" s="34"/>
      <c r="K20" s="34"/>
    </row>
    <row r="21" spans="1:11" ht="44" thickBot="1" x14ac:dyDescent="0.25">
      <c r="A21" s="30">
        <v>84</v>
      </c>
      <c r="B21" s="31" t="s">
        <v>38</v>
      </c>
      <c r="C21" s="32">
        <v>50</v>
      </c>
      <c r="D21" s="33">
        <v>10006028</v>
      </c>
      <c r="E21" s="31" t="s">
        <v>65</v>
      </c>
      <c r="F21" s="33">
        <v>224.26</v>
      </c>
      <c r="G21" s="34"/>
      <c r="H21" s="34"/>
      <c r="I21" s="34"/>
      <c r="J21" s="34"/>
      <c r="K21" s="34" t="s">
        <v>66</v>
      </c>
    </row>
    <row r="22" spans="1:11" ht="58" thickBot="1" x14ac:dyDescent="0.25">
      <c r="A22" s="30">
        <v>85</v>
      </c>
      <c r="B22" s="31" t="s">
        <v>38</v>
      </c>
      <c r="C22" s="32">
        <v>51</v>
      </c>
      <c r="D22" s="33">
        <v>10006100</v>
      </c>
      <c r="E22" s="31" t="s">
        <v>67</v>
      </c>
      <c r="F22" s="33">
        <v>224.05</v>
      </c>
      <c r="G22" s="34"/>
      <c r="H22" s="34"/>
      <c r="I22" s="34"/>
      <c r="J22" s="34"/>
      <c r="K22" s="34"/>
    </row>
    <row r="23" spans="1:11" ht="58" thickBot="1" x14ac:dyDescent="0.25">
      <c r="A23" s="30">
        <v>86</v>
      </c>
      <c r="B23" s="31" t="s">
        <v>38</v>
      </c>
      <c r="C23" s="32">
        <v>52</v>
      </c>
      <c r="D23" s="33">
        <v>10002851</v>
      </c>
      <c r="E23" s="31" t="s">
        <v>68</v>
      </c>
      <c r="F23" s="33">
        <v>223.96</v>
      </c>
      <c r="G23" s="34"/>
      <c r="H23" s="34"/>
      <c r="I23" s="34"/>
      <c r="J23" s="34"/>
      <c r="K23" s="34"/>
    </row>
    <row r="24" spans="1:11" ht="58" thickBot="1" x14ac:dyDescent="0.25">
      <c r="A24" s="30">
        <v>87</v>
      </c>
      <c r="B24" s="31" t="s">
        <v>38</v>
      </c>
      <c r="C24" s="32">
        <v>53</v>
      </c>
      <c r="D24" s="33">
        <v>10005338</v>
      </c>
      <c r="E24" s="31" t="s">
        <v>69</v>
      </c>
      <c r="F24" s="33">
        <v>223.81</v>
      </c>
      <c r="G24" s="34"/>
      <c r="H24" s="34"/>
      <c r="I24" s="34"/>
      <c r="J24" s="34"/>
      <c r="K24" s="34"/>
    </row>
    <row r="25" spans="1:11" ht="72" thickBot="1" x14ac:dyDescent="0.25">
      <c r="A25" s="35">
        <v>88</v>
      </c>
      <c r="B25" s="36" t="s">
        <v>41</v>
      </c>
      <c r="C25" s="37">
        <v>18</v>
      </c>
      <c r="D25" s="38">
        <v>10006258</v>
      </c>
      <c r="E25" s="36" t="s">
        <v>70</v>
      </c>
      <c r="F25" s="38">
        <v>202.41</v>
      </c>
      <c r="G25" s="34"/>
      <c r="H25" s="34" t="s">
        <v>34</v>
      </c>
      <c r="I25" s="34"/>
      <c r="J25" s="34"/>
      <c r="K25" s="34"/>
    </row>
    <row r="26" spans="1:11" ht="58" thickBot="1" x14ac:dyDescent="0.25">
      <c r="A26" s="30">
        <v>89</v>
      </c>
      <c r="B26" s="31" t="s">
        <v>38</v>
      </c>
      <c r="C26" s="32">
        <v>54</v>
      </c>
      <c r="D26" s="33">
        <v>10005677</v>
      </c>
      <c r="E26" s="31" t="s">
        <v>71</v>
      </c>
      <c r="F26" s="33">
        <v>223.73</v>
      </c>
      <c r="G26" s="34"/>
      <c r="H26" s="34"/>
      <c r="I26" s="34"/>
      <c r="J26" s="34"/>
      <c r="K26" s="34"/>
    </row>
    <row r="27" spans="1:11" ht="44" thickBot="1" x14ac:dyDescent="0.25">
      <c r="A27" s="30">
        <v>90</v>
      </c>
      <c r="B27" s="31" t="s">
        <v>38</v>
      </c>
      <c r="C27" s="32">
        <v>55</v>
      </c>
      <c r="D27" s="33">
        <v>10006025</v>
      </c>
      <c r="E27" s="31" t="s">
        <v>72</v>
      </c>
      <c r="F27" s="33">
        <v>223.48</v>
      </c>
      <c r="G27" s="34"/>
      <c r="H27" s="34"/>
      <c r="I27" s="34"/>
      <c r="J27" s="34"/>
      <c r="K27" s="34"/>
    </row>
    <row r="28" spans="1:11" ht="44" thickBot="1" x14ac:dyDescent="0.25">
      <c r="A28" s="30">
        <v>91</v>
      </c>
      <c r="B28" s="31" t="s">
        <v>38</v>
      </c>
      <c r="C28" s="32">
        <v>56</v>
      </c>
      <c r="D28" s="33">
        <v>10001517</v>
      </c>
      <c r="E28" s="31" t="s">
        <v>73</v>
      </c>
      <c r="F28" s="33">
        <v>223.27</v>
      </c>
      <c r="G28" s="34"/>
      <c r="H28" s="34"/>
      <c r="I28" s="34"/>
      <c r="J28" s="34" t="s">
        <v>42</v>
      </c>
      <c r="K28" s="34"/>
    </row>
    <row r="29" spans="1:11" ht="44" thickBot="1" x14ac:dyDescent="0.25">
      <c r="A29" s="30">
        <v>92</v>
      </c>
      <c r="B29" s="31" t="s">
        <v>38</v>
      </c>
      <c r="C29" s="32">
        <v>57</v>
      </c>
      <c r="D29" s="33">
        <v>10005019</v>
      </c>
      <c r="E29" s="31" t="s">
        <v>74</v>
      </c>
      <c r="F29" s="33">
        <v>223.01</v>
      </c>
      <c r="G29" s="34"/>
      <c r="H29" s="34"/>
      <c r="I29" s="34"/>
      <c r="J29" s="34"/>
      <c r="K29" s="34"/>
    </row>
    <row r="30" spans="1:11" ht="72" thickBot="1" x14ac:dyDescent="0.25">
      <c r="A30" s="35">
        <v>93</v>
      </c>
      <c r="B30" s="36" t="s">
        <v>41</v>
      </c>
      <c r="C30" s="37">
        <v>19</v>
      </c>
      <c r="D30" s="38">
        <v>10004948</v>
      </c>
      <c r="E30" s="36" t="s">
        <v>75</v>
      </c>
      <c r="F30" s="38">
        <v>202.32</v>
      </c>
      <c r="G30" s="34"/>
      <c r="H30" s="34"/>
      <c r="I30" s="34"/>
      <c r="J30" s="34"/>
      <c r="K30" s="34"/>
    </row>
    <row r="31" spans="1:11" ht="44" thickBot="1" x14ac:dyDescent="0.25">
      <c r="A31" s="30">
        <v>94</v>
      </c>
      <c r="B31" s="31" t="s">
        <v>38</v>
      </c>
      <c r="C31" s="32">
        <v>58</v>
      </c>
      <c r="D31" s="33">
        <v>10006049</v>
      </c>
      <c r="E31" s="31" t="s">
        <v>76</v>
      </c>
      <c r="F31" s="33">
        <v>222.78</v>
      </c>
      <c r="G31" s="34"/>
      <c r="H31" s="34"/>
      <c r="I31" s="34"/>
      <c r="J31" s="34"/>
      <c r="K31" s="34"/>
    </row>
    <row r="32" spans="1:11" ht="44" thickBot="1" x14ac:dyDescent="0.25">
      <c r="A32" s="30">
        <v>95</v>
      </c>
      <c r="B32" s="31" t="s">
        <v>38</v>
      </c>
      <c r="C32" s="32">
        <v>59</v>
      </c>
      <c r="D32" s="33">
        <v>10001219</v>
      </c>
      <c r="E32" s="31" t="s">
        <v>77</v>
      </c>
      <c r="F32" s="33">
        <v>222.59</v>
      </c>
      <c r="G32" s="34"/>
      <c r="H32" s="34"/>
      <c r="I32" s="34"/>
      <c r="J32" s="34"/>
      <c r="K32" s="34"/>
    </row>
    <row r="33" spans="1:11" ht="58" thickBot="1" x14ac:dyDescent="0.25">
      <c r="A33" s="30">
        <v>96</v>
      </c>
      <c r="B33" s="31" t="s">
        <v>38</v>
      </c>
      <c r="C33" s="32">
        <v>60</v>
      </c>
      <c r="D33" s="33">
        <v>10007359</v>
      </c>
      <c r="E33" s="31" t="s">
        <v>78</v>
      </c>
      <c r="F33" s="33">
        <v>221.65</v>
      </c>
      <c r="G33" s="34"/>
      <c r="H33" s="34"/>
      <c r="I33" s="34"/>
      <c r="J33" s="34"/>
      <c r="K33" s="34"/>
    </row>
    <row r="34" spans="1:11" ht="58" thickBot="1" x14ac:dyDescent="0.25">
      <c r="A34" s="30">
        <v>97</v>
      </c>
      <c r="B34" s="31" t="s">
        <v>38</v>
      </c>
      <c r="C34" s="32">
        <v>61</v>
      </c>
      <c r="D34" s="33">
        <v>10005967</v>
      </c>
      <c r="E34" s="31" t="s">
        <v>79</v>
      </c>
      <c r="F34" s="33">
        <v>221.64</v>
      </c>
      <c r="G34" s="34"/>
      <c r="H34" s="34"/>
      <c r="I34" s="34"/>
      <c r="J34" s="34"/>
      <c r="K34" s="34"/>
    </row>
    <row r="35" spans="1:11" ht="44" thickBot="1" x14ac:dyDescent="0.25">
      <c r="A35" s="35">
        <v>98</v>
      </c>
      <c r="B35" s="36" t="s">
        <v>41</v>
      </c>
      <c r="C35" s="37">
        <v>20</v>
      </c>
      <c r="D35" s="38">
        <v>10004507</v>
      </c>
      <c r="E35" s="36" t="s">
        <v>80</v>
      </c>
      <c r="F35" s="38">
        <v>199.88</v>
      </c>
      <c r="G35" s="34"/>
      <c r="H35" s="34"/>
      <c r="I35" s="34" t="s">
        <v>39</v>
      </c>
      <c r="J35" s="34"/>
      <c r="K35" s="34"/>
    </row>
    <row r="36" spans="1:11" ht="44" thickBot="1" x14ac:dyDescent="0.25">
      <c r="A36" s="30">
        <v>99</v>
      </c>
      <c r="B36" s="31" t="s">
        <v>38</v>
      </c>
      <c r="C36" s="32">
        <v>62</v>
      </c>
      <c r="D36" s="33">
        <v>10003424</v>
      </c>
      <c r="E36" s="31" t="s">
        <v>81</v>
      </c>
      <c r="F36" s="33">
        <v>221.56</v>
      </c>
      <c r="G36" s="34"/>
      <c r="H36" s="34"/>
      <c r="I36" s="34" t="s">
        <v>39</v>
      </c>
      <c r="J36" s="34"/>
      <c r="K36" s="34"/>
    </row>
    <row r="37" spans="1:11" ht="44" thickBot="1" x14ac:dyDescent="0.25">
      <c r="A37" s="30">
        <v>100</v>
      </c>
      <c r="B37" s="31" t="s">
        <v>38</v>
      </c>
      <c r="C37" s="32">
        <v>63</v>
      </c>
      <c r="D37" s="33">
        <v>10001052</v>
      </c>
      <c r="E37" s="31" t="s">
        <v>82</v>
      </c>
      <c r="F37" s="33">
        <v>221.39</v>
      </c>
      <c r="G37" s="34"/>
      <c r="H37" s="34"/>
      <c r="I37" s="34"/>
      <c r="J37" s="34"/>
      <c r="K37" s="34"/>
    </row>
    <row r="38" spans="1:11" ht="44" thickBot="1" x14ac:dyDescent="0.25">
      <c r="A38" s="30">
        <v>101</v>
      </c>
      <c r="B38" s="31" t="s">
        <v>38</v>
      </c>
      <c r="C38" s="32">
        <v>64</v>
      </c>
      <c r="D38" s="33">
        <v>10007833</v>
      </c>
      <c r="E38" s="31" t="s">
        <v>83</v>
      </c>
      <c r="F38" s="33">
        <v>221.32</v>
      </c>
      <c r="G38" s="34"/>
      <c r="H38" s="34"/>
      <c r="I38" s="34"/>
      <c r="J38" s="34"/>
      <c r="K38" s="34"/>
    </row>
    <row r="39" spans="1:11" ht="44" thickBot="1" x14ac:dyDescent="0.25">
      <c r="A39" s="30">
        <v>102</v>
      </c>
      <c r="B39" s="31" t="s">
        <v>38</v>
      </c>
      <c r="C39" s="32">
        <v>65</v>
      </c>
      <c r="D39" s="33">
        <v>10005138</v>
      </c>
      <c r="E39" s="31" t="s">
        <v>84</v>
      </c>
      <c r="F39" s="33">
        <v>221.12</v>
      </c>
      <c r="G39" s="34"/>
      <c r="H39" s="34"/>
      <c r="I39" s="34"/>
      <c r="J39" s="34"/>
      <c r="K39" s="34"/>
    </row>
    <row r="40" spans="1:11" ht="58" thickBot="1" x14ac:dyDescent="0.25">
      <c r="A40" s="35">
        <v>103</v>
      </c>
      <c r="B40" s="36" t="s">
        <v>41</v>
      </c>
      <c r="C40" s="37">
        <v>21</v>
      </c>
      <c r="D40" s="38">
        <v>10007574</v>
      </c>
      <c r="E40" s="36" t="s">
        <v>85</v>
      </c>
      <c r="F40" s="38">
        <v>199.37</v>
      </c>
      <c r="G40" s="34"/>
      <c r="H40" s="34"/>
      <c r="I40" s="34"/>
      <c r="J40" s="34"/>
      <c r="K40" s="34"/>
    </row>
    <row r="41" spans="1:11" ht="58" thickBot="1" x14ac:dyDescent="0.25">
      <c r="A41" s="30">
        <v>106</v>
      </c>
      <c r="B41" s="31" t="s">
        <v>38</v>
      </c>
      <c r="C41" s="32">
        <v>68</v>
      </c>
      <c r="D41" s="33">
        <v>10002725</v>
      </c>
      <c r="E41" s="31" t="s">
        <v>86</v>
      </c>
      <c r="F41" s="33">
        <v>220.98</v>
      </c>
      <c r="G41" s="34"/>
      <c r="H41" s="34"/>
      <c r="I41" s="34"/>
      <c r="J41" s="34"/>
      <c r="K41" s="34"/>
    </row>
    <row r="42" spans="1:11" ht="72" thickBot="1" x14ac:dyDescent="0.25">
      <c r="A42" s="30">
        <v>107</v>
      </c>
      <c r="B42" s="31" t="s">
        <v>38</v>
      </c>
      <c r="C42" s="32">
        <v>69</v>
      </c>
      <c r="D42" s="33">
        <v>10006655</v>
      </c>
      <c r="E42" s="31" t="s">
        <v>87</v>
      </c>
      <c r="F42" s="33">
        <v>220.62</v>
      </c>
      <c r="G42" s="34"/>
      <c r="H42" s="34"/>
      <c r="I42" s="34"/>
      <c r="J42" s="34"/>
      <c r="K42" s="34"/>
    </row>
    <row r="43" spans="1:11" ht="58" thickBot="1" x14ac:dyDescent="0.25">
      <c r="A43" s="35">
        <v>108</v>
      </c>
      <c r="B43" s="36" t="s">
        <v>41</v>
      </c>
      <c r="C43" s="37">
        <v>22</v>
      </c>
      <c r="D43" s="38">
        <v>10001016</v>
      </c>
      <c r="E43" s="36" t="s">
        <v>88</v>
      </c>
      <c r="F43" s="38">
        <v>198.42</v>
      </c>
      <c r="G43" s="34"/>
      <c r="H43" s="34"/>
      <c r="I43" s="34"/>
      <c r="J43" s="34"/>
      <c r="K43" s="34"/>
    </row>
    <row r="44" spans="1:11" ht="44" thickBot="1" x14ac:dyDescent="0.25">
      <c r="A44" s="30">
        <v>109</v>
      </c>
      <c r="B44" s="31" t="s">
        <v>38</v>
      </c>
      <c r="C44" s="32">
        <v>70</v>
      </c>
      <c r="D44" s="33">
        <v>10000894</v>
      </c>
      <c r="E44" s="31" t="s">
        <v>89</v>
      </c>
      <c r="F44" s="33">
        <v>220.46</v>
      </c>
      <c r="G44" s="34"/>
      <c r="H44" s="34"/>
      <c r="I44" s="34"/>
      <c r="J44" s="34"/>
      <c r="K44" s="34"/>
    </row>
    <row r="45" spans="1:11" ht="44" thickBot="1" x14ac:dyDescent="0.25">
      <c r="A45" s="30">
        <v>110</v>
      </c>
      <c r="B45" s="31" t="s">
        <v>38</v>
      </c>
      <c r="C45" s="32">
        <v>71</v>
      </c>
      <c r="D45" s="33">
        <v>10003271</v>
      </c>
      <c r="E45" s="31" t="s">
        <v>90</v>
      </c>
      <c r="F45" s="33">
        <v>220.43</v>
      </c>
      <c r="G45" s="34"/>
      <c r="H45" s="34" t="s">
        <v>34</v>
      </c>
      <c r="I45" s="34"/>
      <c r="J45" s="34"/>
      <c r="K45" s="34"/>
    </row>
    <row r="46" spans="1:11" ht="86" thickBot="1" x14ac:dyDescent="0.25">
      <c r="A46" s="30">
        <v>111</v>
      </c>
      <c r="B46" s="31" t="s">
        <v>38</v>
      </c>
      <c r="C46" s="32">
        <v>72</v>
      </c>
      <c r="D46" s="33">
        <v>10001101</v>
      </c>
      <c r="E46" s="31" t="s">
        <v>91</v>
      </c>
      <c r="F46" s="33">
        <v>220.43</v>
      </c>
      <c r="G46" s="34"/>
      <c r="H46" s="34"/>
      <c r="I46" s="34"/>
      <c r="J46" s="34" t="s">
        <v>42</v>
      </c>
      <c r="K46" s="34"/>
    </row>
    <row r="47" spans="1:11" ht="72" thickBot="1" x14ac:dyDescent="0.25">
      <c r="A47" s="30">
        <v>112</v>
      </c>
      <c r="B47" s="31" t="s">
        <v>38</v>
      </c>
      <c r="C47" s="32">
        <v>73</v>
      </c>
      <c r="D47" s="33">
        <v>10006045</v>
      </c>
      <c r="E47" s="31" t="s">
        <v>92</v>
      </c>
      <c r="F47" s="33">
        <v>220.15</v>
      </c>
      <c r="G47" s="34"/>
      <c r="H47" s="34"/>
      <c r="I47" s="34"/>
      <c r="J47" s="34" t="s">
        <v>42</v>
      </c>
      <c r="K47" s="34"/>
    </row>
    <row r="48" spans="1:11" ht="44" thickBot="1" x14ac:dyDescent="0.25">
      <c r="A48" s="35">
        <v>113</v>
      </c>
      <c r="B48" s="36" t="s">
        <v>41</v>
      </c>
      <c r="C48" s="37">
        <v>23</v>
      </c>
      <c r="D48" s="38">
        <v>10005334</v>
      </c>
      <c r="E48" s="36" t="s">
        <v>93</v>
      </c>
      <c r="F48" s="38">
        <v>196.19</v>
      </c>
      <c r="G48" s="34"/>
      <c r="H48" s="34"/>
      <c r="I48" s="34"/>
      <c r="J48" s="34"/>
      <c r="K48" s="34"/>
    </row>
    <row r="49" spans="1:11" ht="44" thickBot="1" x14ac:dyDescent="0.25">
      <c r="A49" s="30">
        <v>114</v>
      </c>
      <c r="B49" s="31" t="s">
        <v>38</v>
      </c>
      <c r="C49" s="32">
        <v>74</v>
      </c>
      <c r="D49" s="33">
        <v>10004661</v>
      </c>
      <c r="E49" s="31" t="s">
        <v>94</v>
      </c>
      <c r="F49" s="33">
        <v>220</v>
      </c>
      <c r="G49" s="34"/>
      <c r="H49" s="34"/>
      <c r="I49" s="34" t="s">
        <v>39</v>
      </c>
      <c r="J49" s="34" t="s">
        <v>42</v>
      </c>
      <c r="K49" s="34"/>
    </row>
    <row r="50" spans="1:11" ht="44" thickBot="1" x14ac:dyDescent="0.25">
      <c r="A50" s="30">
        <v>115</v>
      </c>
      <c r="B50" s="31" t="s">
        <v>38</v>
      </c>
      <c r="C50" s="32">
        <v>75</v>
      </c>
      <c r="D50" s="33">
        <v>10000234</v>
      </c>
      <c r="E50" s="31" t="s">
        <v>95</v>
      </c>
      <c r="F50" s="33">
        <v>219.56</v>
      </c>
      <c r="G50" s="34"/>
      <c r="H50" s="34"/>
      <c r="I50" s="34"/>
      <c r="J50" s="34"/>
      <c r="K50" s="34"/>
    </row>
    <row r="51" spans="1:11" ht="72" thickBot="1" x14ac:dyDescent="0.25">
      <c r="A51" s="30">
        <v>116</v>
      </c>
      <c r="B51" s="31" t="s">
        <v>38</v>
      </c>
      <c r="C51" s="32">
        <v>76</v>
      </c>
      <c r="D51" s="33">
        <v>10001602</v>
      </c>
      <c r="E51" s="31" t="s">
        <v>96</v>
      </c>
      <c r="F51" s="33">
        <v>219.19</v>
      </c>
      <c r="G51" s="34"/>
      <c r="H51" s="34"/>
      <c r="I51" s="34"/>
      <c r="J51" s="34"/>
      <c r="K51" s="34"/>
    </row>
    <row r="52" spans="1:11" ht="58" thickBot="1" x14ac:dyDescent="0.25">
      <c r="A52" s="30">
        <v>117</v>
      </c>
      <c r="B52" s="31" t="s">
        <v>38</v>
      </c>
      <c r="C52" s="32">
        <v>77</v>
      </c>
      <c r="D52" s="33">
        <v>10004020</v>
      </c>
      <c r="E52" s="31" t="s">
        <v>97</v>
      </c>
      <c r="F52" s="33">
        <v>219.16</v>
      </c>
      <c r="G52" s="34"/>
      <c r="H52" s="34"/>
      <c r="I52" s="34"/>
      <c r="J52" s="34"/>
      <c r="K52" s="34"/>
    </row>
    <row r="53" spans="1:11" ht="58" thickBot="1" x14ac:dyDescent="0.25">
      <c r="A53" s="35">
        <v>118</v>
      </c>
      <c r="B53" s="36" t="s">
        <v>41</v>
      </c>
      <c r="C53" s="37">
        <v>24</v>
      </c>
      <c r="D53" s="38">
        <v>10005684</v>
      </c>
      <c r="E53" s="36" t="s">
        <v>98</v>
      </c>
      <c r="F53" s="38">
        <v>196.19</v>
      </c>
      <c r="G53" s="34"/>
      <c r="H53" s="34" t="s">
        <v>34</v>
      </c>
      <c r="I53" s="34"/>
      <c r="J53" s="34"/>
      <c r="K53" s="34"/>
    </row>
    <row r="54" spans="1:11" ht="86" thickBot="1" x14ac:dyDescent="0.25">
      <c r="A54" s="30">
        <v>121</v>
      </c>
      <c r="B54" s="31" t="s">
        <v>38</v>
      </c>
      <c r="C54" s="32">
        <v>80</v>
      </c>
      <c r="D54" s="33">
        <v>10003743</v>
      </c>
      <c r="E54" s="31" t="s">
        <v>99</v>
      </c>
      <c r="F54" s="33">
        <v>218.84</v>
      </c>
      <c r="G54" s="34"/>
      <c r="H54" s="34"/>
      <c r="I54" s="34"/>
      <c r="J54" s="34" t="s">
        <v>42</v>
      </c>
      <c r="K54" s="34"/>
    </row>
    <row r="55" spans="1:11" ht="58" thickBot="1" x14ac:dyDescent="0.25">
      <c r="A55" s="30">
        <v>122</v>
      </c>
      <c r="B55" s="31" t="s">
        <v>38</v>
      </c>
      <c r="C55" s="32">
        <v>81</v>
      </c>
      <c r="D55" s="33">
        <v>10000946</v>
      </c>
      <c r="E55" s="31" t="s">
        <v>100</v>
      </c>
      <c r="F55" s="33">
        <v>218.75</v>
      </c>
      <c r="G55" s="34"/>
      <c r="H55" s="34"/>
      <c r="I55" s="34"/>
      <c r="J55" s="34"/>
      <c r="K55" s="34"/>
    </row>
    <row r="56" spans="1:11" ht="58" thickBot="1" x14ac:dyDescent="0.25">
      <c r="A56" s="30">
        <v>124</v>
      </c>
      <c r="B56" s="31" t="s">
        <v>38</v>
      </c>
      <c r="C56" s="32">
        <v>82</v>
      </c>
      <c r="D56" s="33">
        <v>10000590</v>
      </c>
      <c r="E56" s="31" t="s">
        <v>101</v>
      </c>
      <c r="F56" s="33">
        <v>218.42</v>
      </c>
      <c r="G56" s="34"/>
      <c r="H56" s="34"/>
      <c r="I56" s="34"/>
      <c r="J56" s="34"/>
      <c r="K56" s="34"/>
    </row>
    <row r="57" spans="1:11" ht="44" thickBot="1" x14ac:dyDescent="0.25">
      <c r="A57" s="30">
        <v>125</v>
      </c>
      <c r="B57" s="31" t="s">
        <v>38</v>
      </c>
      <c r="C57" s="32">
        <v>83</v>
      </c>
      <c r="D57" s="33">
        <v>10002938</v>
      </c>
      <c r="E57" s="31" t="s">
        <v>102</v>
      </c>
      <c r="F57" s="33">
        <v>218.12</v>
      </c>
      <c r="G57" s="34"/>
      <c r="H57" s="34"/>
      <c r="I57" s="34"/>
      <c r="J57" s="34"/>
      <c r="K57" s="34"/>
    </row>
    <row r="58" spans="1:11" ht="72" thickBot="1" x14ac:dyDescent="0.25">
      <c r="A58" s="30">
        <v>126</v>
      </c>
      <c r="B58" s="31" t="s">
        <v>38</v>
      </c>
      <c r="C58" s="32">
        <v>84</v>
      </c>
      <c r="D58" s="33">
        <v>10000743</v>
      </c>
      <c r="E58" s="31" t="s">
        <v>103</v>
      </c>
      <c r="F58" s="33">
        <v>218.09</v>
      </c>
      <c r="G58" s="34"/>
      <c r="H58" s="34"/>
      <c r="I58" s="34"/>
      <c r="J58" s="34"/>
      <c r="K58" s="34"/>
    </row>
    <row r="59" spans="1:11" ht="44" thickBot="1" x14ac:dyDescent="0.25">
      <c r="A59" s="30">
        <v>127</v>
      </c>
      <c r="B59" s="31" t="s">
        <v>38</v>
      </c>
      <c r="C59" s="32">
        <v>85</v>
      </c>
      <c r="D59" s="33">
        <v>10006833</v>
      </c>
      <c r="E59" s="31" t="s">
        <v>104</v>
      </c>
      <c r="F59" s="33">
        <v>217.93</v>
      </c>
      <c r="G59" s="34"/>
      <c r="H59" s="34"/>
      <c r="I59" s="34"/>
      <c r="J59" s="34"/>
      <c r="K59" s="34"/>
    </row>
    <row r="60" spans="1:11" ht="58" thickBot="1" x14ac:dyDescent="0.25">
      <c r="A60" s="35">
        <v>128</v>
      </c>
      <c r="B60" s="36" t="s">
        <v>41</v>
      </c>
      <c r="C60" s="37">
        <v>26</v>
      </c>
      <c r="D60" s="38">
        <v>10005112</v>
      </c>
      <c r="E60" s="36" t="s">
        <v>105</v>
      </c>
      <c r="F60" s="38">
        <v>194.1</v>
      </c>
      <c r="G60" s="34"/>
      <c r="H60" s="34"/>
      <c r="I60" s="34"/>
      <c r="J60" s="34"/>
      <c r="K60" s="34"/>
    </row>
    <row r="61" spans="1:11" ht="44" thickBot="1" x14ac:dyDescent="0.25">
      <c r="A61" s="30">
        <v>129</v>
      </c>
      <c r="B61" s="31" t="s">
        <v>38</v>
      </c>
      <c r="C61" s="32">
        <v>86</v>
      </c>
      <c r="D61" s="33">
        <v>10000335</v>
      </c>
      <c r="E61" s="31" t="s">
        <v>106</v>
      </c>
      <c r="F61" s="33">
        <v>217.91</v>
      </c>
      <c r="G61" s="34"/>
      <c r="H61" s="34"/>
      <c r="I61" s="34"/>
      <c r="J61" s="34"/>
      <c r="K61" s="34"/>
    </row>
    <row r="62" spans="1:11" ht="86" thickBot="1" x14ac:dyDescent="0.25">
      <c r="A62" s="30">
        <v>130</v>
      </c>
      <c r="B62" s="31" t="s">
        <v>38</v>
      </c>
      <c r="C62" s="32">
        <v>87</v>
      </c>
      <c r="D62" s="33">
        <v>10003355</v>
      </c>
      <c r="E62" s="31" t="s">
        <v>107</v>
      </c>
      <c r="F62" s="33">
        <v>217.3</v>
      </c>
      <c r="G62" s="34"/>
      <c r="H62" s="34"/>
      <c r="I62" s="34"/>
      <c r="J62" s="34"/>
      <c r="K62" s="34"/>
    </row>
    <row r="63" spans="1:11" ht="58" thickBot="1" x14ac:dyDescent="0.25">
      <c r="A63" s="30">
        <v>131</v>
      </c>
      <c r="B63" s="31" t="s">
        <v>38</v>
      </c>
      <c r="C63" s="32">
        <v>88</v>
      </c>
      <c r="D63" s="33">
        <v>10002746</v>
      </c>
      <c r="E63" s="31" t="s">
        <v>108</v>
      </c>
      <c r="F63" s="33">
        <v>217.25</v>
      </c>
      <c r="G63" s="34"/>
      <c r="H63" s="34"/>
      <c r="I63" s="34"/>
      <c r="J63" s="34"/>
      <c r="K63" s="34"/>
    </row>
    <row r="64" spans="1:11" ht="58" thickBot="1" x14ac:dyDescent="0.25">
      <c r="A64" s="30">
        <v>132</v>
      </c>
      <c r="B64" s="31" t="s">
        <v>38</v>
      </c>
      <c r="C64" s="32">
        <v>89</v>
      </c>
      <c r="D64" s="33">
        <v>10001201</v>
      </c>
      <c r="E64" s="31" t="s">
        <v>109</v>
      </c>
      <c r="F64" s="33">
        <v>217.13</v>
      </c>
      <c r="G64" s="34"/>
      <c r="H64" s="34"/>
      <c r="I64" s="34"/>
      <c r="J64" s="34"/>
      <c r="K64" s="34"/>
    </row>
    <row r="65" spans="1:11" ht="72" thickBot="1" x14ac:dyDescent="0.25">
      <c r="A65" s="35">
        <v>133</v>
      </c>
      <c r="B65" s="36" t="s">
        <v>41</v>
      </c>
      <c r="C65" s="37">
        <v>27</v>
      </c>
      <c r="D65" s="38">
        <v>10002837</v>
      </c>
      <c r="E65" s="36" t="s">
        <v>110</v>
      </c>
      <c r="F65" s="38">
        <v>191.62</v>
      </c>
      <c r="G65" s="34"/>
      <c r="H65" s="34" t="s">
        <v>34</v>
      </c>
      <c r="I65" s="34"/>
      <c r="J65" s="34"/>
      <c r="K65" s="34"/>
    </row>
    <row r="66" spans="1:11" ht="58" thickBot="1" x14ac:dyDescent="0.25">
      <c r="A66" s="30">
        <v>134</v>
      </c>
      <c r="B66" s="31" t="s">
        <v>38</v>
      </c>
      <c r="C66" s="32">
        <v>90</v>
      </c>
      <c r="D66" s="33">
        <v>10001361</v>
      </c>
      <c r="E66" s="31" t="s">
        <v>111</v>
      </c>
      <c r="F66" s="33">
        <v>216.7</v>
      </c>
      <c r="G66" s="34"/>
      <c r="H66" s="34"/>
      <c r="I66" s="34"/>
      <c r="J66" s="34"/>
      <c r="K66" s="34"/>
    </row>
    <row r="67" spans="1:11" ht="44" thickBot="1" x14ac:dyDescent="0.25">
      <c r="A67" s="30">
        <v>135</v>
      </c>
      <c r="B67" s="31" t="s">
        <v>38</v>
      </c>
      <c r="C67" s="32">
        <v>91</v>
      </c>
      <c r="D67" s="33">
        <v>10005122</v>
      </c>
      <c r="E67" s="31" t="s">
        <v>112</v>
      </c>
      <c r="F67" s="33">
        <v>216.66</v>
      </c>
      <c r="G67" s="34"/>
      <c r="H67" s="34"/>
      <c r="I67" s="34"/>
      <c r="J67" s="34"/>
      <c r="K67" s="34"/>
    </row>
    <row r="68" spans="1:11" ht="58" thickBot="1" x14ac:dyDescent="0.25">
      <c r="A68" s="30">
        <v>136</v>
      </c>
      <c r="B68" s="31" t="s">
        <v>38</v>
      </c>
      <c r="C68" s="32">
        <v>92</v>
      </c>
      <c r="D68" s="33">
        <v>10004665</v>
      </c>
      <c r="E68" s="31" t="s">
        <v>113</v>
      </c>
      <c r="F68" s="33">
        <v>216.55</v>
      </c>
      <c r="G68" s="34"/>
      <c r="H68" s="34"/>
      <c r="I68" s="34"/>
      <c r="J68" s="34"/>
      <c r="K68" s="34"/>
    </row>
    <row r="69" spans="1:11" ht="72" thickBot="1" x14ac:dyDescent="0.25">
      <c r="A69" s="30">
        <v>137</v>
      </c>
      <c r="B69" s="31" t="s">
        <v>38</v>
      </c>
      <c r="C69" s="32">
        <v>93</v>
      </c>
      <c r="D69" s="33">
        <v>10004595</v>
      </c>
      <c r="E69" s="31" t="s">
        <v>114</v>
      </c>
      <c r="F69" s="33">
        <v>216.52</v>
      </c>
      <c r="G69" s="34"/>
      <c r="H69" s="34"/>
      <c r="I69" s="34"/>
      <c r="J69" s="34"/>
      <c r="K69" s="34"/>
    </row>
    <row r="70" spans="1:11" ht="58" thickBot="1" x14ac:dyDescent="0.25">
      <c r="A70" s="35">
        <v>138</v>
      </c>
      <c r="B70" s="36" t="s">
        <v>41</v>
      </c>
      <c r="C70" s="37">
        <v>28</v>
      </c>
      <c r="D70" s="38">
        <v>10003333</v>
      </c>
      <c r="E70" s="36" t="s">
        <v>115</v>
      </c>
      <c r="F70" s="38">
        <v>191.57</v>
      </c>
      <c r="G70" s="34"/>
      <c r="H70" s="34" t="s">
        <v>34</v>
      </c>
      <c r="I70" s="34"/>
      <c r="J70" s="34"/>
      <c r="K70" s="34"/>
    </row>
    <row r="71" spans="1:11" ht="30" thickBot="1" x14ac:dyDescent="0.25">
      <c r="A71" s="30">
        <v>139</v>
      </c>
      <c r="B71" s="31" t="s">
        <v>38</v>
      </c>
      <c r="C71" s="32">
        <v>94</v>
      </c>
      <c r="D71" s="33">
        <v>10000012</v>
      </c>
      <c r="E71" s="31" t="s">
        <v>116</v>
      </c>
      <c r="F71" s="33">
        <v>216.27</v>
      </c>
      <c r="G71" s="34"/>
      <c r="H71" s="34"/>
      <c r="I71" s="34"/>
      <c r="J71" s="34"/>
      <c r="K71" s="34"/>
    </row>
    <row r="72" spans="1:11" ht="44" thickBot="1" x14ac:dyDescent="0.25">
      <c r="A72" s="30">
        <v>140</v>
      </c>
      <c r="B72" s="31" t="s">
        <v>38</v>
      </c>
      <c r="C72" s="32">
        <v>95</v>
      </c>
      <c r="D72" s="33">
        <v>10004381</v>
      </c>
      <c r="E72" s="31" t="s">
        <v>117</v>
      </c>
      <c r="F72" s="33">
        <v>216.24</v>
      </c>
      <c r="G72" s="34"/>
      <c r="H72" s="34"/>
      <c r="I72" s="34"/>
      <c r="J72" s="34"/>
      <c r="K72" s="34"/>
    </row>
    <row r="73" spans="1:11" ht="44" thickBot="1" x14ac:dyDescent="0.25">
      <c r="A73" s="30">
        <v>141</v>
      </c>
      <c r="B73" s="31" t="s">
        <v>38</v>
      </c>
      <c r="C73" s="32">
        <v>96</v>
      </c>
      <c r="D73" s="33">
        <v>10002892</v>
      </c>
      <c r="E73" s="31" t="s">
        <v>118</v>
      </c>
      <c r="F73" s="33">
        <v>216.23</v>
      </c>
      <c r="G73" s="34"/>
      <c r="H73" s="34"/>
      <c r="I73" s="34"/>
      <c r="J73" s="34"/>
      <c r="K73" s="34"/>
    </row>
    <row r="74" spans="1:11" ht="58" thickBot="1" x14ac:dyDescent="0.25">
      <c r="A74" s="30">
        <v>142</v>
      </c>
      <c r="B74" s="31" t="s">
        <v>38</v>
      </c>
      <c r="C74" s="32">
        <v>97</v>
      </c>
      <c r="D74" s="33">
        <v>10002644</v>
      </c>
      <c r="E74" s="31" t="s">
        <v>119</v>
      </c>
      <c r="F74" s="33">
        <v>216.08</v>
      </c>
      <c r="G74" s="34"/>
      <c r="H74" s="34"/>
      <c r="I74" s="34"/>
      <c r="J74" s="34"/>
      <c r="K74" s="34"/>
    </row>
    <row r="75" spans="1:11" ht="58" thickBot="1" x14ac:dyDescent="0.25">
      <c r="A75" s="35">
        <v>143</v>
      </c>
      <c r="B75" s="36" t="s">
        <v>41</v>
      </c>
      <c r="C75" s="37">
        <v>29</v>
      </c>
      <c r="D75" s="38">
        <v>10004013</v>
      </c>
      <c r="E75" s="36" t="s">
        <v>120</v>
      </c>
      <c r="F75" s="38">
        <v>191.12</v>
      </c>
      <c r="G75" s="34"/>
      <c r="H75" s="34" t="s">
        <v>34</v>
      </c>
      <c r="I75" s="34"/>
      <c r="J75" s="34"/>
      <c r="K75" s="34"/>
    </row>
    <row r="76" spans="1:11" ht="44" thickBot="1" x14ac:dyDescent="0.25">
      <c r="A76" s="30">
        <v>144</v>
      </c>
      <c r="B76" s="31" t="s">
        <v>38</v>
      </c>
      <c r="C76" s="32">
        <v>98</v>
      </c>
      <c r="D76" s="33">
        <v>10000087</v>
      </c>
      <c r="E76" s="31" t="s">
        <v>121</v>
      </c>
      <c r="F76" s="33">
        <v>215.99</v>
      </c>
      <c r="G76" s="34"/>
      <c r="H76" s="34"/>
      <c r="I76" s="34"/>
      <c r="J76" s="34"/>
      <c r="K76" s="34"/>
    </row>
    <row r="77" spans="1:11" ht="44" thickBot="1" x14ac:dyDescent="0.25">
      <c r="A77" s="30">
        <v>145</v>
      </c>
      <c r="B77" s="31" t="s">
        <v>38</v>
      </c>
      <c r="C77" s="32">
        <v>99</v>
      </c>
      <c r="D77" s="33">
        <v>10005585</v>
      </c>
      <c r="E77" s="31" t="s">
        <v>122</v>
      </c>
      <c r="F77" s="33">
        <v>215.92</v>
      </c>
      <c r="G77" s="34"/>
      <c r="H77" s="34"/>
      <c r="I77" s="34"/>
      <c r="J77" s="34"/>
      <c r="K77" s="34"/>
    </row>
    <row r="78" spans="1:11" ht="44" thickBot="1" x14ac:dyDescent="0.25">
      <c r="A78" s="30">
        <v>146</v>
      </c>
      <c r="B78" s="31" t="s">
        <v>38</v>
      </c>
      <c r="C78" s="32">
        <v>100</v>
      </c>
      <c r="D78" s="33">
        <v>10002315</v>
      </c>
      <c r="E78" s="31" t="s">
        <v>123</v>
      </c>
      <c r="F78" s="33">
        <v>215.74</v>
      </c>
      <c r="G78" s="34"/>
      <c r="H78" s="34"/>
      <c r="I78" s="34"/>
      <c r="J78" s="34"/>
      <c r="K78" s="34"/>
    </row>
    <row r="79" spans="1:11" ht="44" thickBot="1" x14ac:dyDescent="0.25">
      <c r="A79" s="30">
        <v>147</v>
      </c>
      <c r="B79" s="31" t="s">
        <v>38</v>
      </c>
      <c r="C79" s="32">
        <v>101</v>
      </c>
      <c r="D79" s="33">
        <v>10004069</v>
      </c>
      <c r="E79" s="31" t="s">
        <v>124</v>
      </c>
      <c r="F79" s="33">
        <v>215.59</v>
      </c>
      <c r="G79" s="34"/>
      <c r="H79" s="34"/>
      <c r="I79" s="34"/>
      <c r="J79" s="34"/>
      <c r="K79" s="34"/>
    </row>
    <row r="80" spans="1:11" ht="44" thickBot="1" x14ac:dyDescent="0.25">
      <c r="A80" s="35">
        <v>148</v>
      </c>
      <c r="B80" s="36" t="s">
        <v>41</v>
      </c>
      <c r="C80" s="37">
        <v>30</v>
      </c>
      <c r="D80" s="38">
        <v>10000441</v>
      </c>
      <c r="E80" s="36" t="s">
        <v>125</v>
      </c>
      <c r="F80" s="38">
        <v>190.98</v>
      </c>
      <c r="G80" s="34"/>
      <c r="H80" s="34" t="s">
        <v>34</v>
      </c>
      <c r="I80" s="34"/>
      <c r="J80" s="34"/>
      <c r="K80" s="34"/>
    </row>
    <row r="81" spans="1:11" ht="72" thickBot="1" x14ac:dyDescent="0.25">
      <c r="A81" s="30">
        <v>149</v>
      </c>
      <c r="B81" s="31" t="s">
        <v>38</v>
      </c>
      <c r="C81" s="32">
        <v>102</v>
      </c>
      <c r="D81" s="33">
        <v>10008102</v>
      </c>
      <c r="E81" s="31" t="s">
        <v>126</v>
      </c>
      <c r="F81" s="33">
        <v>215.48</v>
      </c>
      <c r="G81" s="34"/>
      <c r="H81" s="34"/>
      <c r="I81" s="34"/>
      <c r="J81" s="34"/>
      <c r="K81" s="34"/>
    </row>
    <row r="82" spans="1:11" ht="72" thickBot="1" x14ac:dyDescent="0.25">
      <c r="A82" s="30">
        <v>150</v>
      </c>
      <c r="B82" s="31" t="s">
        <v>38</v>
      </c>
      <c r="C82" s="32">
        <v>103</v>
      </c>
      <c r="D82" s="33">
        <v>10004419</v>
      </c>
      <c r="E82" s="31" t="s">
        <v>127</v>
      </c>
      <c r="F82" s="33">
        <v>215.2</v>
      </c>
      <c r="G82" s="34"/>
      <c r="H82" s="34"/>
      <c r="I82" s="34"/>
      <c r="J82" s="34" t="s">
        <v>42</v>
      </c>
      <c r="K82" s="34"/>
    </row>
    <row r="83" spans="1:11" ht="72" thickBot="1" x14ac:dyDescent="0.25">
      <c r="A83" s="30">
        <v>152</v>
      </c>
      <c r="B83" s="31" t="s">
        <v>38</v>
      </c>
      <c r="C83" s="32">
        <v>105</v>
      </c>
      <c r="D83" s="33">
        <v>10005984</v>
      </c>
      <c r="E83" s="31" t="s">
        <v>128</v>
      </c>
      <c r="F83" s="33">
        <v>214.93</v>
      </c>
      <c r="G83" s="34"/>
      <c r="H83" s="34"/>
      <c r="I83" s="34"/>
      <c r="J83" s="34"/>
      <c r="K83" s="34"/>
    </row>
    <row r="84" spans="1:11" ht="44" thickBot="1" x14ac:dyDescent="0.25">
      <c r="A84" s="35">
        <v>153</v>
      </c>
      <c r="B84" s="36" t="s">
        <v>41</v>
      </c>
      <c r="C84" s="37">
        <v>31</v>
      </c>
      <c r="D84" s="38">
        <v>10003094</v>
      </c>
      <c r="E84" s="36" t="s">
        <v>129</v>
      </c>
      <c r="F84" s="38">
        <v>190.91</v>
      </c>
      <c r="G84" s="34"/>
      <c r="H84" s="34"/>
      <c r="I84" s="34"/>
      <c r="J84" s="34"/>
      <c r="K84" s="34"/>
    </row>
    <row r="85" spans="1:11" ht="86" thickBot="1" x14ac:dyDescent="0.25">
      <c r="A85" s="30">
        <v>154</v>
      </c>
      <c r="B85" s="31" t="s">
        <v>38</v>
      </c>
      <c r="C85" s="32">
        <v>106</v>
      </c>
      <c r="D85" s="33">
        <v>10000268</v>
      </c>
      <c r="E85" s="31" t="s">
        <v>130</v>
      </c>
      <c r="F85" s="33">
        <v>214.74</v>
      </c>
      <c r="G85" s="34"/>
      <c r="H85" s="34"/>
      <c r="I85" s="34"/>
      <c r="J85" s="34"/>
      <c r="K85" s="34"/>
    </row>
    <row r="86" spans="1:11" ht="44" thickBot="1" x14ac:dyDescent="0.25">
      <c r="A86" s="30">
        <v>155</v>
      </c>
      <c r="B86" s="31" t="s">
        <v>38</v>
      </c>
      <c r="C86" s="32">
        <v>107</v>
      </c>
      <c r="D86" s="33">
        <v>10006186</v>
      </c>
      <c r="E86" s="31" t="s">
        <v>131</v>
      </c>
      <c r="F86" s="33">
        <v>214.55</v>
      </c>
      <c r="G86" s="34"/>
      <c r="H86" s="34"/>
      <c r="I86" s="34"/>
      <c r="J86" s="34"/>
      <c r="K86" s="34"/>
    </row>
    <row r="87" spans="1:11" ht="72" thickBot="1" x14ac:dyDescent="0.25">
      <c r="A87" s="30">
        <v>156</v>
      </c>
      <c r="B87" s="31" t="s">
        <v>38</v>
      </c>
      <c r="C87" s="32">
        <v>108</v>
      </c>
      <c r="D87" s="33">
        <v>10000724</v>
      </c>
      <c r="E87" s="31" t="s">
        <v>132</v>
      </c>
      <c r="F87" s="33">
        <v>214.46</v>
      </c>
      <c r="G87" s="34"/>
      <c r="H87" s="34"/>
      <c r="I87" s="34"/>
      <c r="J87" s="34"/>
      <c r="K87" s="34"/>
    </row>
    <row r="88" spans="1:11" ht="72" thickBot="1" x14ac:dyDescent="0.25">
      <c r="A88" s="30">
        <v>157</v>
      </c>
      <c r="B88" s="31" t="s">
        <v>38</v>
      </c>
      <c r="C88" s="32">
        <v>109</v>
      </c>
      <c r="D88" s="33">
        <v>10006376</v>
      </c>
      <c r="E88" s="31" t="s">
        <v>133</v>
      </c>
      <c r="F88" s="33">
        <v>214.44</v>
      </c>
      <c r="G88" s="34"/>
      <c r="H88" s="34"/>
      <c r="I88" s="34"/>
      <c r="J88" s="34"/>
      <c r="K88" s="34"/>
    </row>
    <row r="89" spans="1:11" ht="58" thickBot="1" x14ac:dyDescent="0.25">
      <c r="A89" s="35">
        <v>158</v>
      </c>
      <c r="B89" s="36" t="s">
        <v>41</v>
      </c>
      <c r="C89" s="37">
        <v>32</v>
      </c>
      <c r="D89" s="38">
        <v>10001368</v>
      </c>
      <c r="E89" s="36" t="s">
        <v>134</v>
      </c>
      <c r="F89" s="38">
        <v>190.69</v>
      </c>
      <c r="G89" s="34"/>
      <c r="H89" s="34"/>
      <c r="I89" s="34"/>
      <c r="J89" s="34"/>
      <c r="K89" s="34"/>
    </row>
    <row r="90" spans="1:11" ht="44" thickBot="1" x14ac:dyDescent="0.25">
      <c r="A90" s="30">
        <v>159</v>
      </c>
      <c r="B90" s="31" t="s">
        <v>38</v>
      </c>
      <c r="C90" s="32">
        <v>110</v>
      </c>
      <c r="D90" s="33">
        <v>10001118</v>
      </c>
      <c r="E90" s="31" t="s">
        <v>135</v>
      </c>
      <c r="F90" s="33">
        <v>214.3</v>
      </c>
      <c r="G90" s="34"/>
      <c r="H90" s="34"/>
      <c r="I90" s="34"/>
      <c r="J90" s="34" t="s">
        <v>42</v>
      </c>
      <c r="K90" s="34"/>
    </row>
    <row r="91" spans="1:11" ht="58" thickBot="1" x14ac:dyDescent="0.25">
      <c r="A91" s="30">
        <v>160</v>
      </c>
      <c r="B91" s="31" t="s">
        <v>38</v>
      </c>
      <c r="C91" s="32">
        <v>111</v>
      </c>
      <c r="D91" s="33">
        <v>10004561</v>
      </c>
      <c r="E91" s="31" t="s">
        <v>136</v>
      </c>
      <c r="F91" s="33">
        <v>214.05</v>
      </c>
      <c r="G91" s="34"/>
      <c r="H91" s="34"/>
      <c r="I91" s="34"/>
      <c r="J91" s="34"/>
      <c r="K91" s="34"/>
    </row>
    <row r="92" spans="1:11" ht="58" thickBot="1" x14ac:dyDescent="0.25">
      <c r="A92" s="30">
        <v>161</v>
      </c>
      <c r="B92" s="31" t="s">
        <v>38</v>
      </c>
      <c r="C92" s="32">
        <v>112</v>
      </c>
      <c r="D92" s="33">
        <v>10000519</v>
      </c>
      <c r="E92" s="31" t="s">
        <v>137</v>
      </c>
      <c r="F92" s="33">
        <v>214.04</v>
      </c>
      <c r="G92" s="34"/>
      <c r="H92" s="34"/>
      <c r="I92" s="34"/>
      <c r="J92" s="34"/>
      <c r="K92" s="34"/>
    </row>
    <row r="93" spans="1:11" ht="44" thickBot="1" x14ac:dyDescent="0.25">
      <c r="A93" s="30">
        <v>162</v>
      </c>
      <c r="B93" s="31" t="s">
        <v>38</v>
      </c>
      <c r="C93" s="32">
        <v>113</v>
      </c>
      <c r="D93" s="33">
        <v>10002048</v>
      </c>
      <c r="E93" s="31" t="s">
        <v>138</v>
      </c>
      <c r="F93" s="33">
        <v>213.98</v>
      </c>
      <c r="G93" s="34"/>
      <c r="H93" s="34"/>
      <c r="I93" s="34"/>
      <c r="J93" s="34"/>
      <c r="K93" s="34"/>
    </row>
    <row r="94" spans="1:11" ht="58" thickBot="1" x14ac:dyDescent="0.25">
      <c r="A94" s="35">
        <v>163</v>
      </c>
      <c r="B94" s="36" t="s">
        <v>41</v>
      </c>
      <c r="C94" s="37">
        <v>33</v>
      </c>
      <c r="D94" s="38">
        <v>10003704</v>
      </c>
      <c r="E94" s="36" t="s">
        <v>139</v>
      </c>
      <c r="F94" s="38">
        <v>190.35</v>
      </c>
      <c r="G94" s="34"/>
      <c r="H94" s="34"/>
      <c r="I94" s="34"/>
      <c r="J94" s="34"/>
      <c r="K94" s="34"/>
    </row>
    <row r="95" spans="1:11" ht="44" thickBot="1" x14ac:dyDescent="0.25">
      <c r="A95" s="30">
        <v>164</v>
      </c>
      <c r="B95" s="31" t="s">
        <v>38</v>
      </c>
      <c r="C95" s="32">
        <v>114</v>
      </c>
      <c r="D95" s="33">
        <v>10001507</v>
      </c>
      <c r="E95" s="31" t="s">
        <v>140</v>
      </c>
      <c r="F95" s="33">
        <v>213.91</v>
      </c>
      <c r="G95" s="34"/>
      <c r="H95" s="34"/>
      <c r="I95" s="34"/>
      <c r="J95" s="34"/>
      <c r="K95" s="34"/>
    </row>
    <row r="96" spans="1:11" ht="72" thickBot="1" x14ac:dyDescent="0.25">
      <c r="A96" s="30">
        <v>165</v>
      </c>
      <c r="B96" s="31" t="s">
        <v>38</v>
      </c>
      <c r="C96" s="32">
        <v>115</v>
      </c>
      <c r="D96" s="33">
        <v>10000538</v>
      </c>
      <c r="E96" s="31" t="s">
        <v>141</v>
      </c>
      <c r="F96" s="33">
        <v>213.87</v>
      </c>
      <c r="G96" s="34"/>
      <c r="H96" s="34"/>
      <c r="I96" s="34"/>
      <c r="J96" s="34"/>
      <c r="K96" s="34"/>
    </row>
    <row r="97" spans="1:12" ht="44" thickBot="1" x14ac:dyDescent="0.25">
      <c r="A97" s="30">
        <v>166</v>
      </c>
      <c r="B97" s="31" t="s">
        <v>38</v>
      </c>
      <c r="C97" s="32">
        <v>116</v>
      </c>
      <c r="D97" s="33">
        <v>10006901</v>
      </c>
      <c r="E97" s="31" t="s">
        <v>142</v>
      </c>
      <c r="F97" s="33">
        <v>213.81</v>
      </c>
      <c r="G97" s="34"/>
      <c r="H97" s="34"/>
      <c r="I97" s="34"/>
      <c r="J97" s="34" t="s">
        <v>42</v>
      </c>
      <c r="K97" s="34"/>
    </row>
    <row r="98" spans="1:12" ht="58" thickBot="1" x14ac:dyDescent="0.25">
      <c r="A98" s="30">
        <v>167</v>
      </c>
      <c r="B98" s="31" t="s">
        <v>38</v>
      </c>
      <c r="C98" s="32">
        <v>117</v>
      </c>
      <c r="D98" s="33">
        <v>10002300</v>
      </c>
      <c r="E98" s="31" t="s">
        <v>143</v>
      </c>
      <c r="F98" s="33">
        <v>213.51</v>
      </c>
      <c r="G98" s="34"/>
      <c r="H98" s="34"/>
      <c r="I98" s="34"/>
      <c r="J98" s="34"/>
      <c r="K98" s="34"/>
    </row>
    <row r="99" spans="1:12" ht="58" thickBot="1" x14ac:dyDescent="0.25">
      <c r="A99" s="35">
        <v>168</v>
      </c>
      <c r="B99" s="36" t="s">
        <v>41</v>
      </c>
      <c r="C99" s="37">
        <v>34</v>
      </c>
      <c r="D99" s="38">
        <v>10003941</v>
      </c>
      <c r="E99" s="36" t="s">
        <v>144</v>
      </c>
      <c r="F99" s="38">
        <v>189.53</v>
      </c>
      <c r="G99" s="34"/>
      <c r="H99" s="34" t="s">
        <v>34</v>
      </c>
      <c r="I99" s="34"/>
      <c r="J99" s="34"/>
      <c r="K99" s="34"/>
    </row>
    <row r="100" spans="1:12" ht="58" thickBot="1" x14ac:dyDescent="0.25">
      <c r="A100" s="30">
        <v>169</v>
      </c>
      <c r="B100" s="31" t="s">
        <v>38</v>
      </c>
      <c r="C100" s="32">
        <v>118</v>
      </c>
      <c r="D100" s="33">
        <v>10001078</v>
      </c>
      <c r="E100" s="31" t="s">
        <v>145</v>
      </c>
      <c r="F100" s="33">
        <v>213.33</v>
      </c>
      <c r="G100" s="34"/>
      <c r="H100" s="34"/>
      <c r="I100" s="34"/>
      <c r="J100" s="34"/>
      <c r="K100" s="34"/>
    </row>
    <row r="101" spans="1:12" ht="44" thickBot="1" x14ac:dyDescent="0.25">
      <c r="A101" s="30">
        <v>170</v>
      </c>
      <c r="B101" s="31" t="s">
        <v>38</v>
      </c>
      <c r="C101" s="32">
        <v>119</v>
      </c>
      <c r="D101" s="33">
        <v>10005289</v>
      </c>
      <c r="E101" s="31" t="s">
        <v>146</v>
      </c>
      <c r="F101" s="33">
        <v>213.05</v>
      </c>
      <c r="G101" s="34"/>
      <c r="H101" s="34"/>
      <c r="I101" s="34"/>
      <c r="J101" s="34"/>
      <c r="K101" s="34"/>
    </row>
    <row r="102" spans="1:12" ht="72" thickBot="1" x14ac:dyDescent="0.25">
      <c r="A102" s="30">
        <v>171</v>
      </c>
      <c r="B102" s="31" t="s">
        <v>38</v>
      </c>
      <c r="C102" s="32">
        <v>120</v>
      </c>
      <c r="D102" s="33">
        <v>10005484</v>
      </c>
      <c r="E102" s="31" t="s">
        <v>147</v>
      </c>
      <c r="F102" s="33">
        <v>213.02</v>
      </c>
      <c r="G102" s="34"/>
      <c r="H102" s="34"/>
      <c r="I102" s="34"/>
      <c r="J102" s="34"/>
      <c r="K102" s="34"/>
    </row>
    <row r="103" spans="1:12" ht="44" thickBot="1" x14ac:dyDescent="0.25">
      <c r="A103" s="30">
        <v>172</v>
      </c>
      <c r="B103" s="31" t="s">
        <v>38</v>
      </c>
      <c r="C103" s="32">
        <v>121</v>
      </c>
      <c r="D103" s="33">
        <v>10001860</v>
      </c>
      <c r="E103" s="31" t="s">
        <v>148</v>
      </c>
      <c r="F103" s="33">
        <v>212.96</v>
      </c>
      <c r="G103" s="34"/>
      <c r="H103" s="34"/>
      <c r="I103" s="34"/>
      <c r="J103" s="34"/>
      <c r="K103" s="34"/>
    </row>
    <row r="104" spans="1:12" ht="44" thickBot="1" x14ac:dyDescent="0.25">
      <c r="A104" s="35">
        <v>173</v>
      </c>
      <c r="B104" s="36" t="s">
        <v>41</v>
      </c>
      <c r="C104" s="37">
        <v>35</v>
      </c>
      <c r="D104" s="38">
        <v>10006038</v>
      </c>
      <c r="E104" s="36" t="s">
        <v>149</v>
      </c>
      <c r="F104" s="38">
        <v>188.97</v>
      </c>
      <c r="G104" s="34"/>
      <c r="H104" s="34"/>
      <c r="I104" s="34"/>
      <c r="J104" s="34"/>
      <c r="K104" s="34"/>
    </row>
    <row r="105" spans="1:12" ht="44" thickBot="1" x14ac:dyDescent="0.25">
      <c r="A105" s="30">
        <v>174</v>
      </c>
      <c r="B105" s="31" t="s">
        <v>38</v>
      </c>
      <c r="C105" s="32">
        <v>122</v>
      </c>
      <c r="D105" s="33">
        <v>10001259</v>
      </c>
      <c r="E105" s="31" t="s">
        <v>150</v>
      </c>
      <c r="F105" s="33">
        <v>212.81</v>
      </c>
      <c r="G105" s="34"/>
      <c r="H105" s="34"/>
      <c r="I105" s="34"/>
      <c r="J105" s="34" t="s">
        <v>48</v>
      </c>
      <c r="K105" s="34"/>
      <c r="L105" t="s">
        <v>217</v>
      </c>
    </row>
    <row r="106" spans="1:12" ht="44" thickBot="1" x14ac:dyDescent="0.25">
      <c r="A106" s="30">
        <v>175</v>
      </c>
      <c r="B106" s="31" t="s">
        <v>38</v>
      </c>
      <c r="C106" s="32">
        <v>123</v>
      </c>
      <c r="D106" s="33">
        <v>10007063</v>
      </c>
      <c r="E106" s="31" t="s">
        <v>151</v>
      </c>
      <c r="F106" s="33">
        <v>212.7</v>
      </c>
      <c r="G106" s="34"/>
      <c r="H106" s="34"/>
      <c r="I106" s="34"/>
      <c r="J106" s="34"/>
      <c r="K106" s="34"/>
    </row>
    <row r="107" spans="1:12" ht="44" thickBot="1" x14ac:dyDescent="0.25">
      <c r="A107" s="30">
        <v>176</v>
      </c>
      <c r="B107" s="31" t="s">
        <v>38</v>
      </c>
      <c r="C107" s="32">
        <v>124</v>
      </c>
      <c r="D107" s="33">
        <v>10003749</v>
      </c>
      <c r="E107" s="31" t="s">
        <v>152</v>
      </c>
      <c r="F107" s="33">
        <v>211.97</v>
      </c>
      <c r="G107" s="34"/>
      <c r="H107" s="34"/>
      <c r="I107" s="34"/>
      <c r="J107" s="34" t="s">
        <v>42</v>
      </c>
      <c r="K107" s="34"/>
    </row>
    <row r="108" spans="1:12" ht="72" thickBot="1" x14ac:dyDescent="0.25">
      <c r="A108" s="30">
        <v>177</v>
      </c>
      <c r="B108" s="31" t="s">
        <v>38</v>
      </c>
      <c r="C108" s="32">
        <v>125</v>
      </c>
      <c r="D108" s="33">
        <v>10001303</v>
      </c>
      <c r="E108" s="31" t="s">
        <v>153</v>
      </c>
      <c r="F108" s="33">
        <v>211.8</v>
      </c>
      <c r="G108" s="34"/>
      <c r="H108" s="34"/>
      <c r="I108" s="34"/>
      <c r="J108" s="34"/>
      <c r="K108" s="34"/>
    </row>
    <row r="109" spans="1:12" ht="44" thickBot="1" x14ac:dyDescent="0.25">
      <c r="A109" s="35">
        <v>178</v>
      </c>
      <c r="B109" s="36" t="s">
        <v>41</v>
      </c>
      <c r="C109" s="37">
        <v>36</v>
      </c>
      <c r="D109" s="38">
        <v>10000755</v>
      </c>
      <c r="E109" s="36" t="s">
        <v>154</v>
      </c>
      <c r="F109" s="38">
        <v>188.73</v>
      </c>
      <c r="G109" s="34"/>
      <c r="H109" s="34"/>
      <c r="I109" s="34"/>
      <c r="J109" s="34"/>
      <c r="K109" s="34"/>
    </row>
    <row r="110" spans="1:12" ht="58" thickBot="1" x14ac:dyDescent="0.25">
      <c r="A110" s="30">
        <v>180</v>
      </c>
      <c r="B110" s="31" t="s">
        <v>38</v>
      </c>
      <c r="C110" s="32">
        <v>127</v>
      </c>
      <c r="D110" s="33">
        <v>10003477</v>
      </c>
      <c r="E110" s="31" t="s">
        <v>155</v>
      </c>
      <c r="F110" s="33">
        <v>211.65</v>
      </c>
      <c r="G110" s="34"/>
      <c r="H110" s="34"/>
      <c r="I110" s="34"/>
      <c r="J110" s="34"/>
      <c r="K110" s="34"/>
    </row>
    <row r="111" spans="1:12" ht="58" thickBot="1" x14ac:dyDescent="0.25">
      <c r="A111" s="30">
        <v>181</v>
      </c>
      <c r="B111" s="31" t="s">
        <v>38</v>
      </c>
      <c r="C111" s="32">
        <v>128</v>
      </c>
      <c r="D111" s="33">
        <v>10000929</v>
      </c>
      <c r="E111" s="31" t="s">
        <v>156</v>
      </c>
      <c r="F111" s="33">
        <v>211.5</v>
      </c>
      <c r="G111" s="34"/>
      <c r="H111" s="34" t="s">
        <v>34</v>
      </c>
      <c r="I111" s="34"/>
      <c r="J111" s="34"/>
      <c r="K111" s="34"/>
    </row>
    <row r="112" spans="1:12" ht="30" thickBot="1" x14ac:dyDescent="0.25">
      <c r="A112" s="30">
        <v>182</v>
      </c>
      <c r="B112" s="31" t="s">
        <v>38</v>
      </c>
      <c r="C112" s="32">
        <v>129</v>
      </c>
      <c r="D112" s="33">
        <v>10004239</v>
      </c>
      <c r="E112" s="31" t="s">
        <v>157</v>
      </c>
      <c r="F112" s="33">
        <v>211.44</v>
      </c>
      <c r="G112" s="34"/>
      <c r="H112" s="34"/>
      <c r="I112" s="34"/>
      <c r="J112" s="34"/>
      <c r="K112" s="34"/>
    </row>
    <row r="113" spans="1:11" ht="58" thickBot="1" x14ac:dyDescent="0.25">
      <c r="A113" s="35">
        <v>183</v>
      </c>
      <c r="B113" s="36" t="s">
        <v>41</v>
      </c>
      <c r="C113" s="37">
        <v>37</v>
      </c>
      <c r="D113" s="38">
        <v>10007492</v>
      </c>
      <c r="E113" s="36" t="s">
        <v>158</v>
      </c>
      <c r="F113" s="38">
        <v>188.36</v>
      </c>
      <c r="G113" s="34"/>
      <c r="H113" s="34"/>
      <c r="I113" s="34"/>
      <c r="J113" s="34"/>
      <c r="K113" s="34"/>
    </row>
    <row r="114" spans="1:11" ht="58" thickBot="1" x14ac:dyDescent="0.25">
      <c r="A114" s="30">
        <v>184</v>
      </c>
      <c r="B114" s="31" t="s">
        <v>38</v>
      </c>
      <c r="C114" s="32">
        <v>130</v>
      </c>
      <c r="D114" s="33">
        <v>10000819</v>
      </c>
      <c r="E114" s="31" t="s">
        <v>159</v>
      </c>
      <c r="F114" s="33">
        <v>211.12</v>
      </c>
      <c r="G114" s="34"/>
      <c r="H114" s="34"/>
      <c r="I114" s="34"/>
      <c r="J114" s="34"/>
      <c r="K114" s="34"/>
    </row>
    <row r="115" spans="1:11" ht="72" thickBot="1" x14ac:dyDescent="0.25">
      <c r="A115" s="30">
        <v>185</v>
      </c>
      <c r="B115" s="31" t="s">
        <v>38</v>
      </c>
      <c r="C115" s="32">
        <v>131</v>
      </c>
      <c r="D115" s="33">
        <v>10004463</v>
      </c>
      <c r="E115" s="31" t="s">
        <v>160</v>
      </c>
      <c r="F115" s="33">
        <v>211.08</v>
      </c>
      <c r="G115" s="34"/>
      <c r="H115" s="34"/>
      <c r="I115" s="34"/>
      <c r="J115" s="34"/>
      <c r="K115" s="34"/>
    </row>
    <row r="116" spans="1:11" ht="58" thickBot="1" x14ac:dyDescent="0.25">
      <c r="A116" s="30">
        <v>186</v>
      </c>
      <c r="B116" s="31" t="s">
        <v>38</v>
      </c>
      <c r="C116" s="32">
        <v>132</v>
      </c>
      <c r="D116" s="33">
        <v>10003254</v>
      </c>
      <c r="E116" s="31" t="s">
        <v>161</v>
      </c>
      <c r="F116" s="33">
        <v>210.79</v>
      </c>
      <c r="G116" s="34"/>
      <c r="H116" s="34"/>
      <c r="I116" s="34"/>
      <c r="J116" s="34"/>
      <c r="K116" s="34"/>
    </row>
    <row r="117" spans="1:11" ht="72" thickBot="1" x14ac:dyDescent="0.25">
      <c r="A117" s="30">
        <v>187</v>
      </c>
      <c r="B117" s="31" t="s">
        <v>38</v>
      </c>
      <c r="C117" s="32">
        <v>133</v>
      </c>
      <c r="D117" s="33">
        <v>10001806</v>
      </c>
      <c r="E117" s="31" t="s">
        <v>162</v>
      </c>
      <c r="F117" s="33">
        <v>210.58</v>
      </c>
      <c r="G117" s="34"/>
      <c r="H117" s="34"/>
      <c r="I117" s="34"/>
      <c r="J117" s="34"/>
      <c r="K117" s="34"/>
    </row>
    <row r="118" spans="1:11" ht="72" thickBot="1" x14ac:dyDescent="0.25">
      <c r="A118" s="35">
        <v>188</v>
      </c>
      <c r="B118" s="36" t="s">
        <v>41</v>
      </c>
      <c r="C118" s="37">
        <v>38</v>
      </c>
      <c r="D118" s="38">
        <v>10007841</v>
      </c>
      <c r="E118" s="36" t="s">
        <v>163</v>
      </c>
      <c r="F118" s="38">
        <v>187.93</v>
      </c>
      <c r="G118" s="34"/>
      <c r="H118" s="34" t="s">
        <v>34</v>
      </c>
      <c r="I118" s="34"/>
      <c r="J118" s="34"/>
      <c r="K118" s="34"/>
    </row>
    <row r="119" spans="1:11" ht="72" thickBot="1" x14ac:dyDescent="0.25">
      <c r="A119" s="30">
        <v>189</v>
      </c>
      <c r="B119" s="31" t="s">
        <v>38</v>
      </c>
      <c r="C119" s="32">
        <v>134</v>
      </c>
      <c r="D119" s="33">
        <v>10002818</v>
      </c>
      <c r="E119" s="31" t="s">
        <v>164</v>
      </c>
      <c r="F119" s="33">
        <v>210.32</v>
      </c>
      <c r="G119" s="34"/>
      <c r="H119" s="34"/>
      <c r="I119" s="34"/>
      <c r="J119" s="34"/>
      <c r="K119" s="34"/>
    </row>
    <row r="120" spans="1:11" ht="58" thickBot="1" x14ac:dyDescent="0.25">
      <c r="A120" s="30">
        <v>190</v>
      </c>
      <c r="B120" s="31" t="s">
        <v>38</v>
      </c>
      <c r="C120" s="32">
        <v>135</v>
      </c>
      <c r="D120" s="33">
        <v>10006250</v>
      </c>
      <c r="E120" s="31" t="s">
        <v>165</v>
      </c>
      <c r="F120" s="33">
        <v>210.08</v>
      </c>
      <c r="G120" s="34"/>
      <c r="H120" s="34"/>
      <c r="I120" s="34"/>
      <c r="J120" s="34"/>
      <c r="K120" s="34"/>
    </row>
    <row r="121" spans="1:11" ht="44" thickBot="1" x14ac:dyDescent="0.25">
      <c r="A121" s="30">
        <v>191</v>
      </c>
      <c r="B121" s="31" t="s">
        <v>38</v>
      </c>
      <c r="C121" s="32">
        <v>136</v>
      </c>
      <c r="D121" s="33">
        <v>10000745</v>
      </c>
      <c r="E121" s="31" t="s">
        <v>166</v>
      </c>
      <c r="F121" s="33">
        <v>209.92</v>
      </c>
      <c r="G121" s="34"/>
      <c r="H121" s="34"/>
      <c r="I121" s="34"/>
      <c r="J121" s="34"/>
      <c r="K121" s="34"/>
    </row>
    <row r="122" spans="1:11" ht="44" thickBot="1" x14ac:dyDescent="0.25">
      <c r="A122" s="30">
        <v>192</v>
      </c>
      <c r="B122" s="31" t="s">
        <v>38</v>
      </c>
      <c r="C122" s="32">
        <v>137</v>
      </c>
      <c r="D122" s="33">
        <v>10002649</v>
      </c>
      <c r="E122" s="31" t="s">
        <v>167</v>
      </c>
      <c r="F122" s="33">
        <v>209.65</v>
      </c>
      <c r="G122" s="34"/>
      <c r="H122" s="34"/>
      <c r="I122" s="34"/>
      <c r="J122" s="34"/>
      <c r="K122" s="34"/>
    </row>
    <row r="123" spans="1:11" ht="58" thickBot="1" x14ac:dyDescent="0.25">
      <c r="A123" s="35">
        <v>193</v>
      </c>
      <c r="B123" s="36" t="s">
        <v>41</v>
      </c>
      <c r="C123" s="37">
        <v>39</v>
      </c>
      <c r="D123" s="38">
        <v>10007497</v>
      </c>
      <c r="E123" s="36" t="s">
        <v>168</v>
      </c>
      <c r="F123" s="38">
        <v>187.55</v>
      </c>
      <c r="G123" s="34"/>
      <c r="H123" s="34"/>
      <c r="I123" s="34"/>
      <c r="J123" s="34"/>
      <c r="K123" s="34"/>
    </row>
    <row r="124" spans="1:11" ht="72" thickBot="1" x14ac:dyDescent="0.25">
      <c r="A124" s="30">
        <v>194</v>
      </c>
      <c r="B124" s="31" t="s">
        <v>38</v>
      </c>
      <c r="C124" s="32">
        <v>138</v>
      </c>
      <c r="D124" s="33">
        <v>10005748</v>
      </c>
      <c r="E124" s="31" t="s">
        <v>169</v>
      </c>
      <c r="F124" s="33">
        <v>209.47</v>
      </c>
      <c r="G124" s="34"/>
      <c r="H124" s="34"/>
      <c r="I124" s="34"/>
      <c r="J124" s="34" t="s">
        <v>42</v>
      </c>
      <c r="K124" s="34"/>
    </row>
    <row r="125" spans="1:11" ht="72" thickBot="1" x14ac:dyDescent="0.25">
      <c r="A125" s="30">
        <v>196</v>
      </c>
      <c r="B125" s="31" t="s">
        <v>38</v>
      </c>
      <c r="C125" s="32">
        <v>140</v>
      </c>
      <c r="D125" s="33">
        <v>10001651</v>
      </c>
      <c r="E125" s="31" t="s">
        <v>170</v>
      </c>
      <c r="F125" s="33">
        <v>208.88</v>
      </c>
      <c r="G125" s="34"/>
      <c r="H125" s="34"/>
      <c r="I125" s="34"/>
      <c r="J125" s="34"/>
      <c r="K125" s="34"/>
    </row>
    <row r="126" spans="1:11" ht="58" thickBot="1" x14ac:dyDescent="0.25">
      <c r="A126" s="30">
        <v>197</v>
      </c>
      <c r="B126" s="31" t="s">
        <v>38</v>
      </c>
      <c r="C126" s="32">
        <v>141</v>
      </c>
      <c r="D126" s="33">
        <v>10000931</v>
      </c>
      <c r="E126" s="31" t="s">
        <v>171</v>
      </c>
      <c r="F126" s="33">
        <v>208.84</v>
      </c>
      <c r="G126" s="34"/>
      <c r="H126" s="34"/>
      <c r="I126" s="34"/>
      <c r="J126" s="34"/>
      <c r="K126" s="34"/>
    </row>
    <row r="127" spans="1:11" ht="86" thickBot="1" x14ac:dyDescent="0.25">
      <c r="A127" s="35">
        <v>198</v>
      </c>
      <c r="B127" s="36" t="s">
        <v>41</v>
      </c>
      <c r="C127" s="37">
        <v>40</v>
      </c>
      <c r="D127" s="38">
        <v>10002547</v>
      </c>
      <c r="E127" s="36" t="s">
        <v>172</v>
      </c>
      <c r="F127" s="38">
        <v>187.52</v>
      </c>
      <c r="G127" s="34"/>
      <c r="H127" s="34" t="s">
        <v>34</v>
      </c>
      <c r="I127" s="34"/>
      <c r="J127" s="34"/>
      <c r="K127" s="34"/>
    </row>
    <row r="128" spans="1:11" ht="44" thickBot="1" x14ac:dyDescent="0.25">
      <c r="A128" s="30">
        <v>199</v>
      </c>
      <c r="B128" s="31" t="s">
        <v>38</v>
      </c>
      <c r="C128" s="32">
        <v>142</v>
      </c>
      <c r="D128" s="33">
        <v>10005323</v>
      </c>
      <c r="E128" s="31" t="s">
        <v>173</v>
      </c>
      <c r="F128" s="33">
        <v>208.73</v>
      </c>
      <c r="G128" s="34"/>
      <c r="H128" s="34"/>
      <c r="I128" s="34"/>
      <c r="J128" s="34"/>
      <c r="K128" s="34"/>
    </row>
    <row r="129" spans="1:11" ht="72" thickBot="1" x14ac:dyDescent="0.25">
      <c r="A129" s="30">
        <v>200</v>
      </c>
      <c r="B129" s="31" t="s">
        <v>38</v>
      </c>
      <c r="C129" s="32">
        <v>143</v>
      </c>
      <c r="D129" s="33">
        <v>10000291</v>
      </c>
      <c r="E129" s="31" t="s">
        <v>174</v>
      </c>
      <c r="F129" s="33">
        <v>208.48</v>
      </c>
      <c r="G129" s="34"/>
      <c r="H129" s="34"/>
      <c r="I129" s="34"/>
      <c r="J129" s="34"/>
      <c r="K129" s="34"/>
    </row>
    <row r="130" spans="1:11" ht="58" thickBot="1" x14ac:dyDescent="0.25">
      <c r="A130" s="30">
        <v>201</v>
      </c>
      <c r="B130" s="31" t="s">
        <v>38</v>
      </c>
      <c r="C130" s="32">
        <v>144</v>
      </c>
      <c r="D130" s="33">
        <v>10001663</v>
      </c>
      <c r="E130" s="31" t="s">
        <v>175</v>
      </c>
      <c r="F130" s="33">
        <v>208.34</v>
      </c>
      <c r="G130" s="34"/>
      <c r="H130" s="34"/>
      <c r="I130" s="34"/>
      <c r="J130" s="34" t="s">
        <v>42</v>
      </c>
      <c r="K130" s="34"/>
    </row>
    <row r="131" spans="1:11" ht="72" thickBot="1" x14ac:dyDescent="0.25">
      <c r="A131" s="30">
        <v>202</v>
      </c>
      <c r="B131" s="31" t="s">
        <v>38</v>
      </c>
      <c r="C131" s="32">
        <v>145</v>
      </c>
      <c r="D131" s="33">
        <v>10007142</v>
      </c>
      <c r="E131" s="31" t="s">
        <v>176</v>
      </c>
      <c r="F131" s="33">
        <v>208.2</v>
      </c>
      <c r="G131" s="34"/>
      <c r="H131" s="34"/>
      <c r="I131" s="34"/>
      <c r="J131" s="34"/>
      <c r="K131" s="34"/>
    </row>
    <row r="132" spans="1:11" ht="58" thickBot="1" x14ac:dyDescent="0.25">
      <c r="A132" s="35">
        <v>203</v>
      </c>
      <c r="B132" s="36" t="s">
        <v>41</v>
      </c>
      <c r="C132" s="37">
        <v>41</v>
      </c>
      <c r="D132" s="38">
        <v>10001914</v>
      </c>
      <c r="E132" s="36" t="s">
        <v>177</v>
      </c>
      <c r="F132" s="38">
        <v>187.49</v>
      </c>
      <c r="G132" s="34"/>
      <c r="H132" s="34"/>
      <c r="I132" s="34"/>
      <c r="J132" s="34"/>
      <c r="K132" s="34"/>
    </row>
    <row r="133" spans="1:11" ht="44" thickBot="1" x14ac:dyDescent="0.25">
      <c r="A133" s="30">
        <v>204</v>
      </c>
      <c r="B133" s="31" t="s">
        <v>38</v>
      </c>
      <c r="C133" s="32">
        <v>146</v>
      </c>
      <c r="D133" s="33">
        <v>10002242</v>
      </c>
      <c r="E133" s="31" t="s">
        <v>178</v>
      </c>
      <c r="F133" s="33">
        <v>208.04</v>
      </c>
      <c r="G133" s="34"/>
      <c r="H133" s="34"/>
      <c r="I133" s="34"/>
      <c r="J133" s="34"/>
      <c r="K133" s="34"/>
    </row>
    <row r="134" spans="1:11" ht="30" thickBot="1" x14ac:dyDescent="0.25">
      <c r="A134" s="30">
        <v>205</v>
      </c>
      <c r="B134" s="31" t="s">
        <v>38</v>
      </c>
      <c r="C134" s="32">
        <v>147</v>
      </c>
      <c r="D134" s="33">
        <v>10002243</v>
      </c>
      <c r="E134" s="31" t="s">
        <v>179</v>
      </c>
      <c r="F134" s="33">
        <v>207.9</v>
      </c>
      <c r="G134" s="34"/>
      <c r="H134" s="34"/>
      <c r="I134" s="34"/>
      <c r="J134" s="34"/>
      <c r="K134" s="34"/>
    </row>
    <row r="135" spans="1:11" ht="44" thickBot="1" x14ac:dyDescent="0.25">
      <c r="A135" s="30">
        <v>206</v>
      </c>
      <c r="B135" s="31" t="s">
        <v>38</v>
      </c>
      <c r="C135" s="32">
        <v>148</v>
      </c>
      <c r="D135" s="33">
        <v>10000705</v>
      </c>
      <c r="E135" s="31" t="s">
        <v>180</v>
      </c>
      <c r="F135" s="33">
        <v>207.84</v>
      </c>
      <c r="G135" s="34"/>
      <c r="H135" s="34"/>
      <c r="I135" s="34"/>
      <c r="J135" s="34"/>
      <c r="K135" s="34"/>
    </row>
    <row r="136" spans="1:11" ht="58" thickBot="1" x14ac:dyDescent="0.25">
      <c r="A136" s="30">
        <v>207</v>
      </c>
      <c r="B136" s="31" t="s">
        <v>38</v>
      </c>
      <c r="C136" s="32">
        <v>149</v>
      </c>
      <c r="D136" s="33">
        <v>10001925</v>
      </c>
      <c r="E136" s="31" t="s">
        <v>181</v>
      </c>
      <c r="F136" s="33">
        <v>206.93</v>
      </c>
      <c r="G136" s="34"/>
      <c r="H136" s="34"/>
      <c r="I136" s="34"/>
      <c r="J136" s="34"/>
      <c r="K136" s="34"/>
    </row>
    <row r="137" spans="1:11" ht="44" thickBot="1" x14ac:dyDescent="0.25">
      <c r="A137" s="35">
        <v>208</v>
      </c>
      <c r="B137" s="36" t="s">
        <v>41</v>
      </c>
      <c r="C137" s="37">
        <v>42</v>
      </c>
      <c r="D137" s="38">
        <v>10003436</v>
      </c>
      <c r="E137" s="36" t="s">
        <v>182</v>
      </c>
      <c r="F137" s="38">
        <v>184.62</v>
      </c>
      <c r="G137" s="34"/>
      <c r="H137" s="34" t="s">
        <v>34</v>
      </c>
      <c r="I137" s="34"/>
      <c r="J137" s="34"/>
      <c r="K137" s="34"/>
    </row>
    <row r="138" spans="1:11" ht="72" thickBot="1" x14ac:dyDescent="0.25">
      <c r="A138" s="30">
        <v>209</v>
      </c>
      <c r="B138" s="31" t="s">
        <v>38</v>
      </c>
      <c r="C138" s="32">
        <v>150</v>
      </c>
      <c r="D138" s="33">
        <v>10003774</v>
      </c>
      <c r="E138" s="31" t="s">
        <v>183</v>
      </c>
      <c r="F138" s="33">
        <v>206.93</v>
      </c>
      <c r="G138" s="34"/>
      <c r="H138" s="34"/>
      <c r="I138" s="34"/>
      <c r="J138" s="34"/>
      <c r="K138" s="34"/>
    </row>
    <row r="139" spans="1:11" ht="72" thickBot="1" x14ac:dyDescent="0.25">
      <c r="A139" s="30">
        <v>210</v>
      </c>
      <c r="B139" s="31" t="s">
        <v>38</v>
      </c>
      <c r="C139" s="32">
        <v>151</v>
      </c>
      <c r="D139" s="33">
        <v>10000097</v>
      </c>
      <c r="E139" s="31" t="s">
        <v>184</v>
      </c>
      <c r="F139" s="33">
        <v>205.72</v>
      </c>
      <c r="G139" s="34"/>
      <c r="H139" s="34" t="s">
        <v>34</v>
      </c>
      <c r="I139" s="34"/>
      <c r="J139" s="34" t="s">
        <v>42</v>
      </c>
      <c r="K139" s="34"/>
    </row>
    <row r="140" spans="1:11" ht="44" thickBot="1" x14ac:dyDescent="0.25">
      <c r="A140" s="30">
        <v>211</v>
      </c>
      <c r="B140" s="31" t="s">
        <v>38</v>
      </c>
      <c r="C140" s="32">
        <v>152</v>
      </c>
      <c r="D140" s="33">
        <v>10003624</v>
      </c>
      <c r="E140" s="31" t="s">
        <v>185</v>
      </c>
      <c r="F140" s="33">
        <v>205.04</v>
      </c>
      <c r="G140" s="34"/>
      <c r="H140" s="34" t="s">
        <v>34</v>
      </c>
      <c r="I140" s="34"/>
      <c r="J140" s="34"/>
      <c r="K140" s="34"/>
    </row>
    <row r="141" spans="1:11" ht="58" thickBot="1" x14ac:dyDescent="0.25">
      <c r="A141" s="30">
        <v>212</v>
      </c>
      <c r="B141" s="31" t="s">
        <v>38</v>
      </c>
      <c r="C141" s="32">
        <v>153</v>
      </c>
      <c r="D141" s="33">
        <v>10003300</v>
      </c>
      <c r="E141" s="31" t="s">
        <v>186</v>
      </c>
      <c r="F141" s="33">
        <v>204.91</v>
      </c>
      <c r="G141" s="34"/>
      <c r="H141" s="34"/>
      <c r="I141" s="34"/>
      <c r="J141" s="34"/>
      <c r="K141" s="34"/>
    </row>
    <row r="142" spans="1:11" ht="44" thickBot="1" x14ac:dyDescent="0.25">
      <c r="A142" s="35">
        <v>213</v>
      </c>
      <c r="B142" s="36" t="s">
        <v>41</v>
      </c>
      <c r="C142" s="37">
        <v>43</v>
      </c>
      <c r="D142" s="38">
        <v>10007535</v>
      </c>
      <c r="E142" s="36" t="s">
        <v>187</v>
      </c>
      <c r="F142" s="38">
        <v>184.17</v>
      </c>
      <c r="G142" s="34"/>
      <c r="H142" s="34" t="s">
        <v>34</v>
      </c>
      <c r="I142" s="34"/>
      <c r="J142" s="34"/>
      <c r="K142" s="34"/>
    </row>
    <row r="143" spans="1:11" ht="58" thickBot="1" x14ac:dyDescent="0.25">
      <c r="A143" s="30">
        <v>214</v>
      </c>
      <c r="B143" s="31" t="s">
        <v>38</v>
      </c>
      <c r="C143" s="32">
        <v>154</v>
      </c>
      <c r="D143" s="33">
        <v>10004163</v>
      </c>
      <c r="E143" s="31" t="s">
        <v>188</v>
      </c>
      <c r="F143" s="33">
        <v>202.16</v>
      </c>
      <c r="G143" s="34"/>
      <c r="H143" s="34"/>
      <c r="I143" s="34"/>
      <c r="J143" s="34"/>
      <c r="K143" s="34"/>
    </row>
  </sheetData>
  <autoFilter ref="A1:K143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I16"/>
  <sheetViews>
    <sheetView workbookViewId="0">
      <selection activeCell="I2" sqref="I2:I15"/>
    </sheetView>
  </sheetViews>
  <sheetFormatPr baseColWidth="10" defaultColWidth="8.83203125" defaultRowHeight="16" x14ac:dyDescent="0.2"/>
  <cols>
    <col min="3" max="3" width="8.6640625" bestFit="1" customWidth="1"/>
  </cols>
  <sheetData>
    <row r="1" spans="1:9" ht="58" thickBot="1" x14ac:dyDescent="0.25">
      <c r="A1" s="45" t="s">
        <v>189</v>
      </c>
      <c r="B1" s="46" t="s">
        <v>190</v>
      </c>
      <c r="C1" s="46" t="s">
        <v>191</v>
      </c>
      <c r="D1" s="46" t="s">
        <v>192</v>
      </c>
      <c r="E1" s="46" t="s">
        <v>193</v>
      </c>
      <c r="F1" s="47" t="s">
        <v>194</v>
      </c>
      <c r="G1" s="47" t="s">
        <v>195</v>
      </c>
      <c r="H1" s="48" t="s">
        <v>196</v>
      </c>
      <c r="I1" s="48" t="s">
        <v>197</v>
      </c>
    </row>
    <row r="2" spans="1:9" ht="58" thickBot="1" x14ac:dyDescent="0.25">
      <c r="A2" s="54">
        <v>10005590</v>
      </c>
      <c r="B2" s="55" t="s">
        <v>45</v>
      </c>
      <c r="C2" s="55" t="s">
        <v>199</v>
      </c>
      <c r="D2" s="56">
        <v>207.32</v>
      </c>
      <c r="E2" s="57">
        <v>45</v>
      </c>
      <c r="F2" s="57">
        <v>252.32</v>
      </c>
      <c r="G2" s="43">
        <v>13</v>
      </c>
      <c r="H2" s="43" t="s">
        <v>34</v>
      </c>
      <c r="I2" s="53" t="s">
        <v>40</v>
      </c>
    </row>
    <row r="3" spans="1:9" ht="72" hidden="1" thickBot="1" x14ac:dyDescent="0.25">
      <c r="A3" s="49">
        <v>10006802</v>
      </c>
      <c r="B3" s="50" t="s">
        <v>201</v>
      </c>
      <c r="C3" s="50" t="s">
        <v>198</v>
      </c>
      <c r="D3" s="51">
        <v>213.36</v>
      </c>
      <c r="E3" s="52">
        <v>48</v>
      </c>
      <c r="F3" s="52">
        <v>261.36</v>
      </c>
      <c r="G3" s="44">
        <v>19</v>
      </c>
      <c r="H3" s="44" t="s">
        <v>47</v>
      </c>
      <c r="I3" s="34"/>
    </row>
    <row r="4" spans="1:9" ht="44" thickBot="1" x14ac:dyDescent="0.25">
      <c r="A4" s="49">
        <v>10003426</v>
      </c>
      <c r="B4" s="50" t="s">
        <v>81</v>
      </c>
      <c r="C4" s="50" t="s">
        <v>198</v>
      </c>
      <c r="D4" s="51">
        <v>213.32</v>
      </c>
      <c r="E4" s="52">
        <v>47</v>
      </c>
      <c r="F4" s="52">
        <v>260.32</v>
      </c>
      <c r="G4" s="44">
        <v>22</v>
      </c>
      <c r="H4" s="44" t="s">
        <v>47</v>
      </c>
      <c r="I4" s="53" t="s">
        <v>40</v>
      </c>
    </row>
    <row r="5" spans="1:9" ht="44" thickBot="1" x14ac:dyDescent="0.25">
      <c r="A5" s="49">
        <v>10004662</v>
      </c>
      <c r="B5" s="50" t="s">
        <v>94</v>
      </c>
      <c r="C5" s="50" t="s">
        <v>198</v>
      </c>
      <c r="D5" s="51">
        <v>216.29</v>
      </c>
      <c r="E5" s="52">
        <v>41</v>
      </c>
      <c r="F5" s="52">
        <v>257.29000000000002</v>
      </c>
      <c r="G5" s="44">
        <v>24</v>
      </c>
      <c r="H5" s="44" t="s">
        <v>47</v>
      </c>
      <c r="I5" s="53" t="s">
        <v>40</v>
      </c>
    </row>
    <row r="6" spans="1:9" ht="58" thickBot="1" x14ac:dyDescent="0.25">
      <c r="A6" s="49">
        <v>10006967</v>
      </c>
      <c r="B6" s="50" t="s">
        <v>51</v>
      </c>
      <c r="C6" s="50" t="s">
        <v>198</v>
      </c>
      <c r="D6" s="51">
        <v>214.11</v>
      </c>
      <c r="E6" s="52">
        <v>43</v>
      </c>
      <c r="F6" s="52">
        <v>257.11</v>
      </c>
      <c r="G6" s="44">
        <v>26</v>
      </c>
      <c r="H6" s="44" t="s">
        <v>47</v>
      </c>
      <c r="I6" s="53" t="s">
        <v>40</v>
      </c>
    </row>
    <row r="7" spans="1:9" ht="86" thickBot="1" x14ac:dyDescent="0.25">
      <c r="A7" s="54">
        <v>10004162</v>
      </c>
      <c r="B7" s="55" t="s">
        <v>64</v>
      </c>
      <c r="C7" s="55" t="s">
        <v>199</v>
      </c>
      <c r="D7" s="56">
        <v>199.58</v>
      </c>
      <c r="E7" s="57">
        <v>45</v>
      </c>
      <c r="F7" s="57">
        <v>244.58</v>
      </c>
      <c r="G7" s="66">
        <v>27</v>
      </c>
      <c r="H7" s="34"/>
      <c r="I7" s="53" t="s">
        <v>40</v>
      </c>
    </row>
    <row r="8" spans="1:9" ht="72" hidden="1" thickBot="1" x14ac:dyDescent="0.25">
      <c r="A8" s="58">
        <v>10001095</v>
      </c>
      <c r="B8" s="59" t="s">
        <v>202</v>
      </c>
      <c r="C8" s="59" t="s">
        <v>43</v>
      </c>
      <c r="D8" s="60">
        <v>186.03</v>
      </c>
      <c r="E8" s="61">
        <v>43</v>
      </c>
      <c r="F8" s="61">
        <v>229.03</v>
      </c>
      <c r="G8" s="44">
        <v>28</v>
      </c>
      <c r="H8" s="44" t="s">
        <v>47</v>
      </c>
      <c r="I8" s="34"/>
    </row>
    <row r="9" spans="1:9" ht="72" hidden="1" thickBot="1" x14ac:dyDescent="0.25">
      <c r="A9" s="62">
        <v>10003096</v>
      </c>
      <c r="B9" s="63" t="s">
        <v>203</v>
      </c>
      <c r="C9" s="63" t="s">
        <v>200</v>
      </c>
      <c r="D9" s="64">
        <v>176.96</v>
      </c>
      <c r="E9" s="65">
        <v>44</v>
      </c>
      <c r="F9" s="65">
        <v>220.96</v>
      </c>
      <c r="G9" s="53">
        <v>29</v>
      </c>
      <c r="H9" s="34"/>
      <c r="I9" s="34"/>
    </row>
    <row r="10" spans="1:9" ht="58" hidden="1" thickBot="1" x14ac:dyDescent="0.25">
      <c r="A10" s="58">
        <v>10005174</v>
      </c>
      <c r="B10" s="59" t="s">
        <v>204</v>
      </c>
      <c r="C10" s="59" t="s">
        <v>43</v>
      </c>
      <c r="D10" s="60">
        <v>184.25</v>
      </c>
      <c r="E10" s="61">
        <v>41</v>
      </c>
      <c r="F10" s="61">
        <v>225.25</v>
      </c>
      <c r="G10" s="44">
        <v>31</v>
      </c>
      <c r="H10" s="44" t="s">
        <v>47</v>
      </c>
      <c r="I10" s="34"/>
    </row>
    <row r="11" spans="1:9" ht="58" hidden="1" thickBot="1" x14ac:dyDescent="0.25">
      <c r="A11" s="58">
        <v>10002569</v>
      </c>
      <c r="B11" s="59" t="s">
        <v>205</v>
      </c>
      <c r="C11" s="59" t="s">
        <v>43</v>
      </c>
      <c r="D11" s="60">
        <v>181.81</v>
      </c>
      <c r="E11" s="61">
        <v>40</v>
      </c>
      <c r="F11" s="61">
        <v>221.81</v>
      </c>
      <c r="G11" s="44">
        <v>33</v>
      </c>
      <c r="H11" s="44" t="s">
        <v>47</v>
      </c>
      <c r="I11" s="34"/>
    </row>
    <row r="12" spans="1:9" ht="72" thickBot="1" x14ac:dyDescent="0.25">
      <c r="A12" s="54">
        <v>10001901</v>
      </c>
      <c r="B12" s="55" t="s">
        <v>60</v>
      </c>
      <c r="C12" s="55" t="s">
        <v>199</v>
      </c>
      <c r="D12" s="56">
        <v>201.26</v>
      </c>
      <c r="E12" s="57">
        <v>41</v>
      </c>
      <c r="F12" s="57">
        <v>242.26</v>
      </c>
      <c r="G12" s="53">
        <v>34</v>
      </c>
      <c r="H12" s="34"/>
      <c r="I12" s="53" t="s">
        <v>40</v>
      </c>
    </row>
    <row r="13" spans="1:9" ht="58" hidden="1" thickBot="1" x14ac:dyDescent="0.25">
      <c r="A13" s="62">
        <v>10006609</v>
      </c>
      <c r="B13" s="63" t="s">
        <v>206</v>
      </c>
      <c r="C13" s="63" t="s">
        <v>200</v>
      </c>
      <c r="D13" s="64">
        <v>178.72</v>
      </c>
      <c r="E13" s="65">
        <v>40</v>
      </c>
      <c r="F13" s="65">
        <v>218.72</v>
      </c>
      <c r="G13" s="53">
        <v>35</v>
      </c>
      <c r="H13" s="34"/>
      <c r="I13" s="34"/>
    </row>
    <row r="14" spans="1:9" ht="58" hidden="1" thickBot="1" x14ac:dyDescent="0.25">
      <c r="A14" s="54">
        <v>10001147</v>
      </c>
      <c r="B14" s="55" t="s">
        <v>207</v>
      </c>
      <c r="C14" s="55" t="s">
        <v>199</v>
      </c>
      <c r="D14" s="56">
        <v>198.37</v>
      </c>
      <c r="E14" s="57">
        <v>43</v>
      </c>
      <c r="F14" s="57">
        <v>241.37</v>
      </c>
      <c r="G14" s="53">
        <v>36</v>
      </c>
      <c r="H14" s="34"/>
      <c r="I14" s="34"/>
    </row>
    <row r="15" spans="1:9" ht="72" thickBot="1" x14ac:dyDescent="0.25">
      <c r="A15" s="54">
        <v>10006259</v>
      </c>
      <c r="B15" s="55" t="s">
        <v>208</v>
      </c>
      <c r="C15" s="55" t="s">
        <v>199</v>
      </c>
      <c r="D15" s="56">
        <v>198.33</v>
      </c>
      <c r="E15" s="57">
        <v>41</v>
      </c>
      <c r="F15" s="57">
        <v>239.33</v>
      </c>
      <c r="G15" s="53">
        <v>37</v>
      </c>
      <c r="H15" s="34"/>
      <c r="I15" s="53" t="s">
        <v>40</v>
      </c>
    </row>
    <row r="16" spans="1:9" ht="72" hidden="1" thickBot="1" x14ac:dyDescent="0.25">
      <c r="A16" s="62">
        <v>10003394</v>
      </c>
      <c r="B16" s="63" t="s">
        <v>209</v>
      </c>
      <c r="C16" s="63" t="s">
        <v>200</v>
      </c>
      <c r="D16" s="64">
        <v>157.37</v>
      </c>
      <c r="E16" s="65">
        <v>41</v>
      </c>
      <c r="F16" s="65">
        <v>198.37</v>
      </c>
      <c r="G16" s="53">
        <v>38</v>
      </c>
      <c r="H16" s="34"/>
      <c r="I16" s="34"/>
    </row>
  </sheetData>
  <autoFilter ref="A1:I16" xr:uid="{00000000-0009-0000-0000-000005000000}">
    <filterColumn colId="8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workbookViewId="0">
      <selection activeCell="C20" sqref="C20"/>
    </sheetView>
  </sheetViews>
  <sheetFormatPr baseColWidth="10" defaultColWidth="11" defaultRowHeight="16" x14ac:dyDescent="0.2"/>
  <cols>
    <col min="1" max="1" width="78.33203125" bestFit="1" customWidth="1"/>
    <col min="2" max="2" width="20.33203125" bestFit="1" customWidth="1"/>
  </cols>
  <sheetData>
    <row r="1" spans="1:2" x14ac:dyDescent="0.2">
      <c r="A1" s="10" t="s">
        <v>0</v>
      </c>
    </row>
    <row r="3" spans="1:2" x14ac:dyDescent="0.2">
      <c r="A3" t="s">
        <v>1</v>
      </c>
      <c r="B3" s="1">
        <v>32223601389.060001</v>
      </c>
    </row>
    <row r="5" spans="1:2" x14ac:dyDescent="0.2">
      <c r="A5" t="s">
        <v>2</v>
      </c>
      <c r="B5" s="1">
        <v>11667703238.48</v>
      </c>
    </row>
    <row r="7" spans="1:2" x14ac:dyDescent="0.2">
      <c r="A7" t="s">
        <v>3</v>
      </c>
      <c r="B7" s="8">
        <f>B5/B3</f>
        <v>0.36208563709583425</v>
      </c>
    </row>
    <row r="9" spans="1:2" x14ac:dyDescent="0.2">
      <c r="A9" t="s">
        <v>4</v>
      </c>
      <c r="B9" s="2">
        <v>0.441</v>
      </c>
    </row>
    <row r="10" spans="1:2" x14ac:dyDescent="0.2">
      <c r="A10" t="s">
        <v>5</v>
      </c>
      <c r="B10" s="6">
        <v>0.46550000000000002</v>
      </c>
    </row>
    <row r="11" spans="1:2" x14ac:dyDescent="0.2">
      <c r="A11" t="s">
        <v>6</v>
      </c>
      <c r="B11" s="3">
        <v>0.49</v>
      </c>
    </row>
    <row r="13" spans="1:2" x14ac:dyDescent="0.2">
      <c r="A13" t="s">
        <v>7</v>
      </c>
      <c r="B13" s="6">
        <f>B10-B7</f>
        <v>0.10341436290416578</v>
      </c>
    </row>
    <row r="15" spans="1:2" x14ac:dyDescent="0.2">
      <c r="A15" t="s">
        <v>17</v>
      </c>
      <c r="B15" s="9">
        <v>440</v>
      </c>
    </row>
    <row r="17" spans="1:2" x14ac:dyDescent="0.2">
      <c r="A17" s="10" t="s">
        <v>18</v>
      </c>
    </row>
    <row r="19" spans="1:2" ht="34" x14ac:dyDescent="0.2">
      <c r="A19" s="5" t="s">
        <v>16</v>
      </c>
      <c r="B19">
        <f>10519.08+112+980.15+420+(4770*1.06)</f>
        <v>17087.43</v>
      </c>
    </row>
    <row r="21" spans="1:2" x14ac:dyDescent="0.2">
      <c r="A21" t="s">
        <v>14</v>
      </c>
      <c r="B21" s="1">
        <f>0.14*7613.8</f>
        <v>1065.932</v>
      </c>
    </row>
    <row r="23" spans="1:2" x14ac:dyDescent="0.2">
      <c r="A23" t="s">
        <v>9</v>
      </c>
      <c r="B23" s="4">
        <f>(B19+B21)*13.3</f>
        <v>241439.71460000004</v>
      </c>
    </row>
    <row r="25" spans="1:2" x14ac:dyDescent="0.2">
      <c r="A25" t="s">
        <v>11</v>
      </c>
      <c r="B25" s="4">
        <f>B23</f>
        <v>241439.71460000004</v>
      </c>
    </row>
    <row r="27" spans="1:2" x14ac:dyDescent="0.2">
      <c r="A27" t="s">
        <v>12</v>
      </c>
      <c r="B27" s="4">
        <f>B25*B15</f>
        <v>106233474.42400001</v>
      </c>
    </row>
    <row r="29" spans="1:2" ht="21" x14ac:dyDescent="0.25">
      <c r="A29" t="s">
        <v>13</v>
      </c>
      <c r="B29" s="11">
        <f>((B27+B5)/B3)-B7</f>
        <v>3.2967598233779594E-3</v>
      </c>
    </row>
    <row r="31" spans="1:2" x14ac:dyDescent="0.2">
      <c r="A31" t="s">
        <v>15</v>
      </c>
      <c r="B31" s="7">
        <f>B7+B29</f>
        <v>0.3653823969192122</v>
      </c>
    </row>
    <row r="33" spans="1:2" x14ac:dyDescent="0.2">
      <c r="A33" t="s">
        <v>7</v>
      </c>
      <c r="B33" s="6">
        <f>B10-B31</f>
        <v>0.10011760308078782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3"/>
  <sheetViews>
    <sheetView workbookViewId="0">
      <selection activeCell="B19" sqref="B19"/>
    </sheetView>
  </sheetViews>
  <sheetFormatPr baseColWidth="10" defaultColWidth="11" defaultRowHeight="16" x14ac:dyDescent="0.2"/>
  <cols>
    <col min="1" max="1" width="78.33203125" bestFit="1" customWidth="1"/>
    <col min="2" max="2" width="20.33203125" bestFit="1" customWidth="1"/>
  </cols>
  <sheetData>
    <row r="1" spans="1:2" x14ac:dyDescent="0.2">
      <c r="A1" s="10" t="s">
        <v>0</v>
      </c>
    </row>
    <row r="3" spans="1:2" x14ac:dyDescent="0.2">
      <c r="A3" t="s">
        <v>1</v>
      </c>
      <c r="B3" s="1">
        <v>32223601389.060001</v>
      </c>
    </row>
    <row r="5" spans="1:2" x14ac:dyDescent="0.2">
      <c r="A5" t="s">
        <v>2</v>
      </c>
      <c r="B5" s="1">
        <v>11667703238.48</v>
      </c>
    </row>
    <row r="7" spans="1:2" x14ac:dyDescent="0.2">
      <c r="A7" t="s">
        <v>3</v>
      </c>
      <c r="B7" s="8">
        <f>B5/B3</f>
        <v>0.36208563709583425</v>
      </c>
    </row>
    <row r="9" spans="1:2" x14ac:dyDescent="0.2">
      <c r="A9" t="s">
        <v>4</v>
      </c>
      <c r="B9" s="2">
        <v>0.441</v>
      </c>
    </row>
    <row r="10" spans="1:2" x14ac:dyDescent="0.2">
      <c r="A10" t="s">
        <v>5</v>
      </c>
      <c r="B10" s="6">
        <v>0.46550000000000002</v>
      </c>
    </row>
    <row r="11" spans="1:2" x14ac:dyDescent="0.2">
      <c r="A11" t="s">
        <v>6</v>
      </c>
      <c r="B11" s="3">
        <v>0.49</v>
      </c>
    </row>
    <row r="13" spans="1:2" x14ac:dyDescent="0.2">
      <c r="A13" t="s">
        <v>7</v>
      </c>
      <c r="B13" s="6">
        <f>B10-B7</f>
        <v>0.10341436290416578</v>
      </c>
    </row>
    <row r="15" spans="1:2" x14ac:dyDescent="0.2">
      <c r="A15" t="s">
        <v>10</v>
      </c>
      <c r="B15" s="9">
        <v>230</v>
      </c>
    </row>
    <row r="17" spans="1:2" x14ac:dyDescent="0.2">
      <c r="A17" s="10" t="s">
        <v>8</v>
      </c>
    </row>
    <row r="19" spans="1:2" ht="34" x14ac:dyDescent="0.2">
      <c r="A19" s="5" t="s">
        <v>16</v>
      </c>
      <c r="B19">
        <f>10519.08+112+980.15+420+(4770*1.06)</f>
        <v>17087.43</v>
      </c>
    </row>
    <row r="21" spans="1:2" x14ac:dyDescent="0.2">
      <c r="A21" t="s">
        <v>14</v>
      </c>
      <c r="B21" s="1">
        <f>0.14*7613.8</f>
        <v>1065.932</v>
      </c>
    </row>
    <row r="23" spans="1:2" x14ac:dyDescent="0.2">
      <c r="A23" t="s">
        <v>9</v>
      </c>
      <c r="B23" s="4">
        <f>(B19+B21)*13.3</f>
        <v>241439.71460000004</v>
      </c>
    </row>
    <row r="25" spans="1:2" x14ac:dyDescent="0.2">
      <c r="A25" t="s">
        <v>11</v>
      </c>
      <c r="B25" s="4">
        <f>B23</f>
        <v>241439.71460000004</v>
      </c>
    </row>
    <row r="27" spans="1:2" x14ac:dyDescent="0.2">
      <c r="A27" t="s">
        <v>12</v>
      </c>
      <c r="B27" s="4">
        <f>B25*B15</f>
        <v>55531134.35800001</v>
      </c>
    </row>
    <row r="29" spans="1:2" ht="21" x14ac:dyDescent="0.25">
      <c r="A29" t="s">
        <v>13</v>
      </c>
      <c r="B29" s="11">
        <f>((B27+B5)/B3)-B7</f>
        <v>1.7233062713111758E-3</v>
      </c>
    </row>
    <row r="31" spans="1:2" x14ac:dyDescent="0.2">
      <c r="A31" t="s">
        <v>15</v>
      </c>
      <c r="B31" s="7">
        <f>B7+B29</f>
        <v>0.36380894336714542</v>
      </c>
    </row>
    <row r="33" spans="1:2" x14ac:dyDescent="0.2">
      <c r="A33" t="s">
        <v>7</v>
      </c>
      <c r="B33" s="6">
        <f>B10-B31</f>
        <v>0.1016910566328546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103</vt:lpstr>
      <vt:lpstr>Já servidores</vt:lpstr>
      <vt:lpstr>CGDF</vt:lpstr>
      <vt:lpstr>Resumo Quantitativo</vt:lpstr>
      <vt:lpstr>FC</vt:lpstr>
      <vt:lpstr>PO</vt:lpstr>
      <vt:lpstr>103 + 102</vt:lpstr>
      <vt:lpstr>TODO ATUB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Maciel</dc:creator>
  <cp:lastModifiedBy>Bruno Maciel</cp:lastModifiedBy>
  <dcterms:created xsi:type="dcterms:W3CDTF">2023-10-10T17:57:21Z</dcterms:created>
  <dcterms:modified xsi:type="dcterms:W3CDTF">2026-09-04T14:13:35Z</dcterms:modified>
</cp:coreProperties>
</file>